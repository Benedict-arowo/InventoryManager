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9AECE343-547C-4C7B-9515-C0E46EE9FBAD}" xr6:coauthVersionLast="47" xr6:coauthVersionMax="47" xr10:uidLastSave="{00000000-0000-0000-0000-000000000000}"/>
  <bookViews>
    <workbookView xWindow="-108" yWindow="-108" windowWidth="23256" windowHeight="12456" tabRatio="658" activeTab="4" xr2:uid="{00000000-000D-0000-FFFF-FFFF00000000}"/>
  </bookViews>
  <sheets>
    <sheet name="Summary" sheetId="8" r:id="rId1"/>
    <sheet name="Sales-1" sheetId="1" r:id="rId2"/>
    <sheet name="Sales-2" sheetId="2" r:id="rId3"/>
    <sheet name="Sales-3" sheetId="3" r:id="rId4"/>
    <sheet name="Sales-4" sheetId="4" r:id="rId5"/>
    <sheet name="Sales-5" sheetId="5" r:id="rId6"/>
    <sheet name="Sales-6" sheetId="6" r:id="rId7"/>
    <sheet name="Sales-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6" l="1"/>
  <c r="C27" i="6"/>
  <c r="E27" i="6" s="1"/>
  <c r="C16" i="6"/>
  <c r="E8" i="4"/>
  <c r="C43" i="4"/>
  <c r="E23" i="7"/>
  <c r="I22" i="8" s="1"/>
  <c r="E24" i="7"/>
  <c r="I23" i="8" s="1"/>
  <c r="E25" i="7"/>
  <c r="E26" i="7"/>
  <c r="I25" i="8" s="1"/>
  <c r="E27" i="7"/>
  <c r="E8" i="7"/>
  <c r="C11" i="7"/>
  <c r="C30" i="7"/>
  <c r="C19" i="7"/>
  <c r="C22" i="3"/>
  <c r="E40" i="3"/>
  <c r="C62" i="2"/>
  <c r="E74" i="2"/>
  <c r="E72" i="5"/>
  <c r="E71" i="5"/>
  <c r="E73" i="5"/>
  <c r="D29" i="5"/>
  <c r="E8" i="2"/>
  <c r="E72" i="1"/>
  <c r="C72" i="8" s="1"/>
  <c r="E73" i="1"/>
  <c r="J80" i="8"/>
  <c r="J81" i="8"/>
  <c r="J82" i="8"/>
  <c r="I72" i="8"/>
  <c r="H72" i="8"/>
  <c r="H77" i="8"/>
  <c r="G72" i="8"/>
  <c r="G77" i="8"/>
  <c r="F72" i="8"/>
  <c r="F77" i="8"/>
  <c r="E77" i="8"/>
  <c r="D77" i="8"/>
  <c r="C77" i="8"/>
  <c r="E74" i="3"/>
  <c r="E72" i="8" s="1"/>
  <c r="E73" i="2"/>
  <c r="D72" i="8" s="1"/>
  <c r="I24" i="8"/>
  <c r="G25" i="8"/>
  <c r="F25" i="8"/>
  <c r="E23" i="8"/>
  <c r="E24" i="8"/>
  <c r="E81" i="6"/>
  <c r="H79" i="8" s="1"/>
  <c r="E80" i="6"/>
  <c r="H78" i="8" s="1"/>
  <c r="E80" i="5"/>
  <c r="G79" i="8" s="1"/>
  <c r="E79" i="5"/>
  <c r="G78" i="8" s="1"/>
  <c r="E80" i="4"/>
  <c r="F79" i="8" s="1"/>
  <c r="E79" i="4"/>
  <c r="F78" i="8" s="1"/>
  <c r="E81" i="3"/>
  <c r="E79" i="8" s="1"/>
  <c r="E80" i="3"/>
  <c r="E78" i="8" s="1"/>
  <c r="E81" i="2"/>
  <c r="D79" i="8" s="1"/>
  <c r="E80" i="2"/>
  <c r="D78" i="8" s="1"/>
  <c r="E80" i="1"/>
  <c r="C79" i="8" s="1"/>
  <c r="E79" i="1"/>
  <c r="C78" i="8" s="1"/>
  <c r="E38" i="1"/>
  <c r="C38" i="8" s="1"/>
  <c r="E39" i="2"/>
  <c r="D38" i="8" s="1"/>
  <c r="E39" i="3"/>
  <c r="E38" i="8" s="1"/>
  <c r="E39" i="4"/>
  <c r="F38" i="8" s="1"/>
  <c r="E38" i="5"/>
  <c r="G38" i="8" s="1"/>
  <c r="E40" i="6"/>
  <c r="H38" i="8" s="1"/>
  <c r="E81" i="7"/>
  <c r="E80" i="7"/>
  <c r="I79" i="8" s="1"/>
  <c r="E78" i="7"/>
  <c r="I77" i="8" s="1"/>
  <c r="E79" i="7"/>
  <c r="I78" i="8" s="1"/>
  <c r="E39" i="7"/>
  <c r="I38" i="8" s="1"/>
  <c r="E23" i="6"/>
  <c r="H22" i="8" s="1"/>
  <c r="E24" i="6"/>
  <c r="H23" i="8" s="1"/>
  <c r="E25" i="6"/>
  <c r="H24" i="8" s="1"/>
  <c r="E26" i="6"/>
  <c r="H25" i="8" s="1"/>
  <c r="E28" i="6"/>
  <c r="H26" i="8" s="1"/>
  <c r="E23" i="5"/>
  <c r="G23" i="8" s="1"/>
  <c r="E23" i="3"/>
  <c r="E22" i="8" s="1"/>
  <c r="E26" i="2"/>
  <c r="D25" i="8" s="1"/>
  <c r="E25" i="2"/>
  <c r="D24" i="8" s="1"/>
  <c r="E24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5" i="4"/>
  <c r="F24" i="8" s="1"/>
  <c r="E26" i="3"/>
  <c r="E25" i="8" s="1"/>
  <c r="E23" i="2"/>
  <c r="D22" i="8" s="1"/>
  <c r="C58" i="1"/>
  <c r="E22" i="5"/>
  <c r="G22" i="8" s="1"/>
  <c r="E24" i="4"/>
  <c r="F23" i="8" s="1"/>
  <c r="E23" i="4"/>
  <c r="F22" i="8" s="1"/>
  <c r="E35" i="1"/>
  <c r="C35" i="8" s="1"/>
  <c r="E22" i="1"/>
  <c r="C22" i="8" s="1"/>
  <c r="E36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E40" i="2"/>
  <c r="D39" i="8" s="1"/>
  <c r="E41" i="2"/>
  <c r="D40" i="8" s="1"/>
  <c r="E42" i="2"/>
  <c r="D41" i="8" s="1"/>
  <c r="E43" i="2"/>
  <c r="D42" i="8" s="1"/>
  <c r="E44" i="2"/>
  <c r="D43" i="8" s="1"/>
  <c r="E45" i="2"/>
  <c r="D44" i="8" s="1"/>
  <c r="E46" i="2"/>
  <c r="D45" i="8" s="1"/>
  <c r="E47" i="2"/>
  <c r="D46" i="8" s="1"/>
  <c r="E48" i="2"/>
  <c r="D47" i="8" s="1"/>
  <c r="E49" i="2"/>
  <c r="D48" i="8" s="1"/>
  <c r="E50" i="2"/>
  <c r="D49" i="8" s="1"/>
  <c r="E51" i="2"/>
  <c r="D50" i="8" s="1"/>
  <c r="E52" i="2"/>
  <c r="D51" i="8" s="1"/>
  <c r="E53" i="2"/>
  <c r="D52" i="8" s="1"/>
  <c r="E54" i="2"/>
  <c r="D53" i="8" s="1"/>
  <c r="E55" i="2"/>
  <c r="D54" i="8" s="1"/>
  <c r="E56" i="2"/>
  <c r="D55" i="8" s="1"/>
  <c r="E57" i="2"/>
  <c r="D56" i="8" s="1"/>
  <c r="E58" i="2"/>
  <c r="D57" i="8" s="1"/>
  <c r="E59" i="2"/>
  <c r="D58" i="8" s="1"/>
  <c r="E60" i="2"/>
  <c r="D59" i="8" s="1"/>
  <c r="E61" i="2"/>
  <c r="D60" i="8" s="1"/>
  <c r="E62" i="2"/>
  <c r="D61" i="8" s="1"/>
  <c r="E63" i="2"/>
  <c r="D62" i="8" s="1"/>
  <c r="E64" i="2"/>
  <c r="D63" i="8" s="1"/>
  <c r="E65" i="2"/>
  <c r="D64" i="8" s="1"/>
  <c r="E66" i="2"/>
  <c r="D65" i="8" s="1"/>
  <c r="E67" i="2"/>
  <c r="D66" i="8" s="1"/>
  <c r="E68" i="2"/>
  <c r="D67" i="8" s="1"/>
  <c r="E69" i="2"/>
  <c r="D68" i="8" s="1"/>
  <c r="E70" i="2"/>
  <c r="D69" i="8" s="1"/>
  <c r="E71" i="2"/>
  <c r="D70" i="8" s="1"/>
  <c r="E72" i="2"/>
  <c r="D71" i="8" s="1"/>
  <c r="E75" i="2"/>
  <c r="D73" i="8" s="1"/>
  <c r="E76" i="2"/>
  <c r="D74" i="8" s="1"/>
  <c r="E77" i="2"/>
  <c r="D75" i="8" s="1"/>
  <c r="E78" i="2"/>
  <c r="D76" i="8" s="1"/>
  <c r="E3" i="2"/>
  <c r="E39" i="6"/>
  <c r="H37" i="8" s="1"/>
  <c r="E38" i="6"/>
  <c r="H36" i="8" s="1"/>
  <c r="E37" i="5"/>
  <c r="G37" i="8" s="1"/>
  <c r="E36" i="5"/>
  <c r="G36" i="8" s="1"/>
  <c r="E38" i="4"/>
  <c r="F37" i="8" s="1"/>
  <c r="E37" i="4"/>
  <c r="F36" i="8" s="1"/>
  <c r="E38" i="3"/>
  <c r="E37" i="8" s="1"/>
  <c r="E37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3" i="3"/>
  <c r="E71" i="8" s="1"/>
  <c r="E72" i="3"/>
  <c r="E70" i="8" s="1"/>
  <c r="D3" i="8" l="1"/>
  <c r="D83" i="8" s="1"/>
  <c r="E77" i="7" l="1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I52" i="8" s="1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I26" i="8"/>
  <c r="E22" i="7"/>
  <c r="I21" i="8" s="1"/>
  <c r="E21" i="7"/>
  <c r="I20" i="8" s="1"/>
  <c r="E20" i="7"/>
  <c r="I19" i="8" s="1"/>
  <c r="E19" i="7"/>
  <c r="I18" i="8" s="1"/>
  <c r="E18" i="7"/>
  <c r="I17" i="8" s="1"/>
  <c r="E17" i="7"/>
  <c r="I16" i="8" s="1"/>
  <c r="E16" i="7"/>
  <c r="I15" i="8" s="1"/>
  <c r="E15" i="7"/>
  <c r="I14" i="8" s="1"/>
  <c r="E14" i="7"/>
  <c r="I13" i="8" s="1"/>
  <c r="E13" i="7"/>
  <c r="I12" i="8" s="1"/>
  <c r="E12" i="7"/>
  <c r="I11" i="8" s="1"/>
  <c r="E11" i="7"/>
  <c r="I10" i="8" s="1"/>
  <c r="E10" i="7"/>
  <c r="I9" i="8" s="1"/>
  <c r="E9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83" i="7"/>
  <c r="E78" i="6"/>
  <c r="H76" i="8" s="1"/>
  <c r="E77" i="6"/>
  <c r="H75" i="8" s="1"/>
  <c r="E76" i="6"/>
  <c r="H74" i="8" s="1"/>
  <c r="E75" i="6"/>
  <c r="H73" i="8" s="1"/>
  <c r="E73" i="6"/>
  <c r="H71" i="8" s="1"/>
  <c r="E72" i="6"/>
  <c r="H70" i="8" s="1"/>
  <c r="E71" i="6"/>
  <c r="H69" i="8" s="1"/>
  <c r="E70" i="6"/>
  <c r="H68" i="8" s="1"/>
  <c r="E69" i="6"/>
  <c r="H67" i="8" s="1"/>
  <c r="E68" i="6"/>
  <c r="H66" i="8" s="1"/>
  <c r="E67" i="6"/>
  <c r="H65" i="8" s="1"/>
  <c r="E66" i="6"/>
  <c r="H64" i="8" s="1"/>
  <c r="E65" i="6"/>
  <c r="H63" i="8" s="1"/>
  <c r="E64" i="6"/>
  <c r="H62" i="8" s="1"/>
  <c r="E63" i="6"/>
  <c r="H61" i="8" s="1"/>
  <c r="E62" i="6"/>
  <c r="H60" i="8" s="1"/>
  <c r="E61" i="6"/>
  <c r="H59" i="8" s="1"/>
  <c r="E60" i="6"/>
  <c r="H58" i="8" s="1"/>
  <c r="E59" i="6"/>
  <c r="H57" i="8" s="1"/>
  <c r="E58" i="6"/>
  <c r="H56" i="8" s="1"/>
  <c r="E57" i="6"/>
  <c r="H55" i="8" s="1"/>
  <c r="E56" i="6"/>
  <c r="H54" i="8" s="1"/>
  <c r="E55" i="6"/>
  <c r="H53" i="8" s="1"/>
  <c r="E54" i="6"/>
  <c r="H52" i="8" s="1"/>
  <c r="E53" i="6"/>
  <c r="H51" i="8" s="1"/>
  <c r="E52" i="6"/>
  <c r="H50" i="8" s="1"/>
  <c r="E51" i="6"/>
  <c r="H49" i="8" s="1"/>
  <c r="E50" i="6"/>
  <c r="H48" i="8" s="1"/>
  <c r="E49" i="6"/>
  <c r="H47" i="8" s="1"/>
  <c r="E48" i="6"/>
  <c r="H46" i="8" s="1"/>
  <c r="E47" i="6"/>
  <c r="H45" i="8" s="1"/>
  <c r="E46" i="6"/>
  <c r="H44" i="8" s="1"/>
  <c r="E45" i="6"/>
  <c r="H43" i="8" s="1"/>
  <c r="E44" i="6"/>
  <c r="H42" i="8" s="1"/>
  <c r="E43" i="6"/>
  <c r="H41" i="8" s="1"/>
  <c r="E42" i="6"/>
  <c r="H40" i="8" s="1"/>
  <c r="E41" i="6"/>
  <c r="H39" i="8" s="1"/>
  <c r="E37" i="6"/>
  <c r="H35" i="8" s="1"/>
  <c r="E36" i="6"/>
  <c r="H34" i="8" s="1"/>
  <c r="E35" i="6"/>
  <c r="H33" i="8" s="1"/>
  <c r="E34" i="6"/>
  <c r="H32" i="8" s="1"/>
  <c r="E33" i="6"/>
  <c r="H31" i="8" s="1"/>
  <c r="E32" i="6"/>
  <c r="H30" i="8" s="1"/>
  <c r="E31" i="6"/>
  <c r="H29" i="8" s="1"/>
  <c r="E30" i="6"/>
  <c r="H28" i="8" s="1"/>
  <c r="E29" i="6"/>
  <c r="H27" i="8" s="1"/>
  <c r="E22" i="6"/>
  <c r="H21" i="8" s="1"/>
  <c r="E21" i="6"/>
  <c r="H20" i="8" s="1"/>
  <c r="E20" i="6"/>
  <c r="H19" i="8" s="1"/>
  <c r="E19" i="6"/>
  <c r="H18" i="8" s="1"/>
  <c r="E18" i="6"/>
  <c r="H17" i="8" s="1"/>
  <c r="E17" i="6"/>
  <c r="H16" i="8" s="1"/>
  <c r="E16" i="6"/>
  <c r="H15" i="8" s="1"/>
  <c r="E15" i="6"/>
  <c r="H14" i="8" s="1"/>
  <c r="E14" i="6"/>
  <c r="H13" i="8" s="1"/>
  <c r="E13" i="6"/>
  <c r="H12" i="8" s="1"/>
  <c r="E12" i="6"/>
  <c r="H11" i="8" s="1"/>
  <c r="E11" i="6"/>
  <c r="H10" i="8" s="1"/>
  <c r="E10" i="6"/>
  <c r="H9" i="8" s="1"/>
  <c r="E9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3" i="6"/>
  <c r="E77" i="1"/>
  <c r="C76" i="8" s="1"/>
  <c r="E76" i="1"/>
  <c r="C75" i="8" s="1"/>
  <c r="E75" i="1"/>
  <c r="C74" i="8" s="1"/>
  <c r="E74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2" i="1"/>
  <c r="E77" i="5"/>
  <c r="G76" i="8" s="1"/>
  <c r="E76" i="5"/>
  <c r="G75" i="8" s="1"/>
  <c r="E75" i="5"/>
  <c r="G74" i="8" s="1"/>
  <c r="E74" i="5"/>
  <c r="G73" i="8" s="1"/>
  <c r="G71" i="8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J71" i="8" l="1"/>
  <c r="G83" i="8"/>
  <c r="E82" i="5"/>
  <c r="E77" i="4"/>
  <c r="F76" i="8" s="1"/>
  <c r="E76" i="4"/>
  <c r="F75" i="8" s="1"/>
  <c r="E75" i="4"/>
  <c r="F74" i="8" s="1"/>
  <c r="E74" i="4"/>
  <c r="F73" i="8" s="1"/>
  <c r="E72" i="4"/>
  <c r="F71" i="8" s="1"/>
  <c r="E71" i="4"/>
  <c r="F70" i="8" s="1"/>
  <c r="J70" i="8" s="1"/>
  <c r="E70" i="4"/>
  <c r="F69" i="8" s="1"/>
  <c r="E69" i="4"/>
  <c r="F68" i="8" s="1"/>
  <c r="E68" i="4"/>
  <c r="F67" i="8" s="1"/>
  <c r="E67" i="4"/>
  <c r="F66" i="8" s="1"/>
  <c r="E66" i="4"/>
  <c r="F65" i="8" s="1"/>
  <c r="E65" i="4"/>
  <c r="F64" i="8" s="1"/>
  <c r="E64" i="4"/>
  <c r="F63" i="8" s="1"/>
  <c r="E63" i="4"/>
  <c r="F62" i="8" s="1"/>
  <c r="E62" i="4"/>
  <c r="F61" i="8" s="1"/>
  <c r="E61" i="4"/>
  <c r="F60" i="8" s="1"/>
  <c r="E60" i="4"/>
  <c r="F59" i="8" s="1"/>
  <c r="E59" i="4"/>
  <c r="F58" i="8" s="1"/>
  <c r="E58" i="4"/>
  <c r="F57" i="8" s="1"/>
  <c r="E57" i="4"/>
  <c r="F56" i="8" s="1"/>
  <c r="E56" i="4"/>
  <c r="F55" i="8" s="1"/>
  <c r="E55" i="4"/>
  <c r="F54" i="8" s="1"/>
  <c r="E54" i="4"/>
  <c r="F53" i="8" s="1"/>
  <c r="E53" i="4"/>
  <c r="F52" i="8" s="1"/>
  <c r="E52" i="4"/>
  <c r="F51" i="8" s="1"/>
  <c r="E51" i="4"/>
  <c r="F50" i="8" s="1"/>
  <c r="E50" i="4"/>
  <c r="F49" i="8" s="1"/>
  <c r="E49" i="4"/>
  <c r="F48" i="8" s="1"/>
  <c r="E48" i="4"/>
  <c r="F47" i="8" s="1"/>
  <c r="E47" i="4"/>
  <c r="F46" i="8" s="1"/>
  <c r="E46" i="4"/>
  <c r="F45" i="8" s="1"/>
  <c r="E45" i="4"/>
  <c r="F44" i="8" s="1"/>
  <c r="E44" i="4"/>
  <c r="F43" i="8" s="1"/>
  <c r="E43" i="4"/>
  <c r="F42" i="8" s="1"/>
  <c r="E42" i="4"/>
  <c r="F41" i="8" s="1"/>
  <c r="E41" i="4"/>
  <c r="F40" i="8" s="1"/>
  <c r="E40" i="4"/>
  <c r="F39" i="8" s="1"/>
  <c r="E36" i="4"/>
  <c r="F35" i="8" s="1"/>
  <c r="E35" i="4"/>
  <c r="F34" i="8" s="1"/>
  <c r="E34" i="4"/>
  <c r="F33" i="8" s="1"/>
  <c r="E33" i="4"/>
  <c r="F32" i="8" s="1"/>
  <c r="E32" i="4"/>
  <c r="F31" i="8" s="1"/>
  <c r="E31" i="4"/>
  <c r="F30" i="8" s="1"/>
  <c r="E30" i="4"/>
  <c r="F29" i="8" s="1"/>
  <c r="E29" i="4"/>
  <c r="F28" i="8" s="1"/>
  <c r="E28" i="4"/>
  <c r="F27" i="8" s="1"/>
  <c r="E27" i="4"/>
  <c r="F26" i="8" s="1"/>
  <c r="E22" i="4"/>
  <c r="F21" i="8" s="1"/>
  <c r="E21" i="4"/>
  <c r="F20" i="8" s="1"/>
  <c r="E20" i="4"/>
  <c r="F19" i="8" s="1"/>
  <c r="E19" i="4"/>
  <c r="F18" i="8" s="1"/>
  <c r="E18" i="4"/>
  <c r="F17" i="8" s="1"/>
  <c r="E17" i="4"/>
  <c r="F16" i="8" s="1"/>
  <c r="E16" i="4"/>
  <c r="F15" i="8" s="1"/>
  <c r="E15" i="4"/>
  <c r="F14" i="8" s="1"/>
  <c r="E14" i="4"/>
  <c r="F13" i="8" s="1"/>
  <c r="E13" i="4"/>
  <c r="F12" i="8" s="1"/>
  <c r="E12" i="4"/>
  <c r="F11" i="8" s="1"/>
  <c r="E11" i="4"/>
  <c r="F10" i="8" s="1"/>
  <c r="E10" i="4"/>
  <c r="F9" i="8" s="1"/>
  <c r="E9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2" i="4" l="1"/>
  <c r="E78" i="3"/>
  <c r="E76" i="8" s="1"/>
  <c r="J76" i="8" s="1"/>
  <c r="E77" i="3"/>
  <c r="E75" i="8" s="1"/>
  <c r="J75" i="8" s="1"/>
  <c r="E76" i="3"/>
  <c r="E74" i="8" s="1"/>
  <c r="J74" i="8" s="1"/>
  <c r="E75" i="3"/>
  <c r="E73" i="8" s="1"/>
  <c r="J73" i="8" s="1"/>
  <c r="E71" i="3"/>
  <c r="E69" i="8" s="1"/>
  <c r="J69" i="8" s="1"/>
  <c r="E70" i="3"/>
  <c r="E68" i="8" s="1"/>
  <c r="J68" i="8" s="1"/>
  <c r="E69" i="3"/>
  <c r="E67" i="8" s="1"/>
  <c r="J67" i="8" s="1"/>
  <c r="E68" i="3"/>
  <c r="E66" i="8" s="1"/>
  <c r="J66" i="8" s="1"/>
  <c r="E67" i="3"/>
  <c r="E65" i="8" s="1"/>
  <c r="J65" i="8" s="1"/>
  <c r="E66" i="3"/>
  <c r="E64" i="8" s="1"/>
  <c r="J64" i="8" s="1"/>
  <c r="E65" i="3"/>
  <c r="E63" i="8" s="1"/>
  <c r="J63" i="8" s="1"/>
  <c r="E64" i="3"/>
  <c r="E62" i="8" s="1"/>
  <c r="J62" i="8" s="1"/>
  <c r="E63" i="3"/>
  <c r="E61" i="8" s="1"/>
  <c r="J61" i="8" s="1"/>
  <c r="E62" i="3"/>
  <c r="E60" i="8" s="1"/>
  <c r="J60" i="8" s="1"/>
  <c r="E61" i="3"/>
  <c r="E59" i="8" s="1"/>
  <c r="J59" i="8" s="1"/>
  <c r="E60" i="3"/>
  <c r="E58" i="8" s="1"/>
  <c r="J58" i="8" s="1"/>
  <c r="E59" i="3"/>
  <c r="E57" i="8" s="1"/>
  <c r="J57" i="8" s="1"/>
  <c r="E58" i="3"/>
  <c r="E56" i="8" s="1"/>
  <c r="J56" i="8" s="1"/>
  <c r="E57" i="3"/>
  <c r="E55" i="8" s="1"/>
  <c r="J55" i="8" s="1"/>
  <c r="E56" i="3"/>
  <c r="E54" i="8" s="1"/>
  <c r="J54" i="8" s="1"/>
  <c r="E55" i="3"/>
  <c r="E53" i="8" s="1"/>
  <c r="J53" i="8" s="1"/>
  <c r="E54" i="3"/>
  <c r="E52" i="8" s="1"/>
  <c r="J52" i="8" s="1"/>
  <c r="E53" i="3"/>
  <c r="E51" i="8" s="1"/>
  <c r="J51" i="8" s="1"/>
  <c r="E52" i="3"/>
  <c r="E50" i="8" s="1"/>
  <c r="J50" i="8" s="1"/>
  <c r="E51" i="3"/>
  <c r="E49" i="8" s="1"/>
  <c r="J49" i="8" s="1"/>
  <c r="E50" i="3"/>
  <c r="E48" i="8" s="1"/>
  <c r="J48" i="8" s="1"/>
  <c r="E49" i="3"/>
  <c r="E47" i="8" s="1"/>
  <c r="J47" i="8" s="1"/>
  <c r="E48" i="3"/>
  <c r="E46" i="8" s="1"/>
  <c r="J46" i="8" s="1"/>
  <c r="E47" i="3"/>
  <c r="E45" i="8" s="1"/>
  <c r="J45" i="8" s="1"/>
  <c r="E46" i="3"/>
  <c r="E44" i="8" s="1"/>
  <c r="J44" i="8" s="1"/>
  <c r="E45" i="3"/>
  <c r="E43" i="8" s="1"/>
  <c r="J43" i="8" s="1"/>
  <c r="E44" i="3"/>
  <c r="E42" i="8" s="1"/>
  <c r="J42" i="8" s="1"/>
  <c r="E43" i="3"/>
  <c r="E41" i="8" s="1"/>
  <c r="J41" i="8" s="1"/>
  <c r="E42" i="3"/>
  <c r="E40" i="8" s="1"/>
  <c r="J40" i="8" s="1"/>
  <c r="E41" i="3"/>
  <c r="E39" i="8" s="1"/>
  <c r="J39" i="8" s="1"/>
  <c r="E36" i="3"/>
  <c r="E35" i="8" s="1"/>
  <c r="J35" i="8" s="1"/>
  <c r="E35" i="3"/>
  <c r="E34" i="8" s="1"/>
  <c r="J34" i="8" s="1"/>
  <c r="E34" i="3"/>
  <c r="E33" i="8" s="1"/>
  <c r="J33" i="8" s="1"/>
  <c r="E33" i="3"/>
  <c r="E32" i="8" s="1"/>
  <c r="J32" i="8" s="1"/>
  <c r="E32" i="3"/>
  <c r="E31" i="8" s="1"/>
  <c r="J31" i="8" s="1"/>
  <c r="E31" i="3"/>
  <c r="E30" i="8" s="1"/>
  <c r="J30" i="8" s="1"/>
  <c r="E30" i="3"/>
  <c r="E29" i="8" s="1"/>
  <c r="J29" i="8" s="1"/>
  <c r="E29" i="3"/>
  <c r="E28" i="8" s="1"/>
  <c r="J28" i="8" s="1"/>
  <c r="E28" i="3"/>
  <c r="E27" i="8" s="1"/>
  <c r="J27" i="8" s="1"/>
  <c r="E27" i="3"/>
  <c r="E26" i="8" s="1"/>
  <c r="J26" i="8" s="1"/>
  <c r="E22" i="3"/>
  <c r="E21" i="8" s="1"/>
  <c r="J21" i="8" s="1"/>
  <c r="E21" i="3"/>
  <c r="E20" i="8" s="1"/>
  <c r="J20" i="8" s="1"/>
  <c r="E20" i="3"/>
  <c r="E19" i="8" s="1"/>
  <c r="J19" i="8" s="1"/>
  <c r="E19" i="3"/>
  <c r="E18" i="8" s="1"/>
  <c r="J18" i="8" s="1"/>
  <c r="E18" i="3"/>
  <c r="E17" i="8" s="1"/>
  <c r="J17" i="8" s="1"/>
  <c r="E17" i="3"/>
  <c r="E16" i="8" s="1"/>
  <c r="J16" i="8" s="1"/>
  <c r="E16" i="3"/>
  <c r="E15" i="8" s="1"/>
  <c r="J15" i="8" s="1"/>
  <c r="E15" i="3"/>
  <c r="E14" i="8" s="1"/>
  <c r="J14" i="8" s="1"/>
  <c r="E14" i="3"/>
  <c r="E13" i="8" s="1"/>
  <c r="J13" i="8" s="1"/>
  <c r="E13" i="3"/>
  <c r="E12" i="8" s="1"/>
  <c r="J12" i="8" s="1"/>
  <c r="E12" i="3"/>
  <c r="E11" i="8" s="1"/>
  <c r="J11" i="8" s="1"/>
  <c r="E11" i="3"/>
  <c r="E10" i="8" s="1"/>
  <c r="J10" i="8" s="1"/>
  <c r="E10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3" i="3"/>
  <c r="E3" i="8"/>
  <c r="E83" i="2"/>
  <c r="J3" i="8" l="1"/>
  <c r="E83" i="8"/>
  <c r="J83" i="8" s="1"/>
</calcChain>
</file>

<file path=xl/sharedStrings.xml><?xml version="1.0" encoding="utf-8"?>
<sst xmlns="http://schemas.openxmlformats.org/spreadsheetml/2006/main" count="1140" uniqueCount="106">
  <si>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</si>
  <si>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</si>
  <si>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</si>
  <si>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</si>
  <si>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</si>
  <si>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</si>
  <si>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</si>
  <si>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</si>
  <si>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</si>
  <si>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</si>
  <si>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</si>
  <si>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</si>
  <si>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</si>
  <si>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</si>
  <si>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</si>
  <si>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</si>
  <si>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</si>
  <si>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</si>
  <si>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</si>
  <si>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</si>
  <si>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</si>
  <si>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</si>
  <si>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</si>
  <si>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</si>
  <si>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</si>
  <si>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</si>
  <si>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</si>
  <si>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</si>
  <si>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</si>
  <si>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</si>
  <si>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</si>
  <si>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</si>
  <si>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</si>
  <si>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</si>
  <si>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</si>
  <si>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</si>
  <si>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</si>
  <si>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</si>
  <si>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</si>
  <si>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</si>
  <si>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</si>
  <si>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</si>
  <si>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</si>
  <si>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</si>
  <si>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</si>
  <si>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</si>
  <si>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</si>
  <si>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</si>
  <si>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</si>
  <si>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</si>
  <si>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</si>
  <si>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</si>
  <si>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</si>
  <si>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</si>
  <si>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</si>
  <si>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</si>
  <si>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</si>
  <si>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</si>
  <si>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</si>
  <si>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</si>
  <si>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</si>
  <si>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</si>
  <si>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</si>
  <si>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</si>
  <si>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</si>
  <si>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</si>
  <si>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</si>
  <si>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</si>
  <si>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</si>
  <si>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</si>
  <si>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</si>
  <si>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</si>
  <si>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</si>
  <si>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</si>
  <si>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</si>
  <si>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</si>
  <si>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</si>
  <si>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</si>
  <si>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</si>
  <si>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</si>
  <si>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</si>
  <si>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</si>
  <si>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</si>
  <si>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</si>
  <si>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</si>
  <si>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</si>
  <si>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</si>
  <si>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</si>
  <si>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</si>
  <si>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</si>
  <si>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</si>
  <si>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</si>
  <si>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</si>
  <si>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</si>
  <si>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</si>
  <si>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</si>
  <si>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</si>
  <si>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</si>
  <si>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</si>
  <si>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</si>
  <si>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Egg</t>
  </si>
  <si>
    <t>v</t>
  </si>
  <si>
    <t>Don Simon</t>
  </si>
  <si>
    <t>Origin bear</t>
  </si>
  <si>
    <t>Gin</t>
  </si>
  <si>
    <t>Chivita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</si>
</sst>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2" tint="-0.8999908444471571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6" fillId="9" borderId="0" xfId="0" applyFont="1" applyFill="1"/>
    <xf numFmtId="0" fontId="4" fillId="9" borderId="0" xfId="0" applyFont="1" applyFill="1"/>
    <xf numFmtId="0" fontId="0" fillId="9" borderId="0" xfId="0" applyFill="1"/>
    <xf numFmtId="0" fontId="0" fillId="9" borderId="1" xfId="0" applyFill="1" applyBorder="1" applyAlignment="1">
      <alignment wrapText="1"/>
    </xf>
    <xf numFmtId="0" fontId="0" fillId="9" borderId="1" xfId="0" applyFill="1" applyBorder="1" applyAlignment="1">
      <alignment horizontal="right" wrapText="1"/>
    </xf>
    <xf numFmtId="3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'Sales-1'!E3</f>
        <v>0</v>
      </c>
      <c r="D3" s="36">
        <f>'Sales-2'!E3</f>
        <v>0</v>
      </c>
      <c r="E3" s="36">
        <f>'Sales-3'!E3</f>
        <v>700</v>
      </c>
      <c r="F3" s="36">
        <f>'Sales-4'!E3</f>
        <v>0</v>
      </c>
      <c r="G3" s="36">
        <f>'Sales-5'!E3</f>
        <v>0</v>
      </c>
      <c r="H3" s="36">
        <f>'Sales-6'!E3</f>
        <v>0</v>
      </c>
      <c r="I3" s="36">
        <f>'Sales-7'!E3</f>
        <v>700</v>
      </c>
      <c r="J3" s="34">
        <f>SUM(C3:I3)</f>
        <v>1400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'Sales-1'!E4</f>
        <v>1400</v>
      </c>
      <c r="D4" s="36">
        <f>'Sales-2'!E4</f>
        <v>700</v>
      </c>
      <c r="E4" s="36">
        <f>'Sales-3'!E4</f>
        <v>3500</v>
      </c>
      <c r="F4" s="36">
        <f>'Sales-4'!E4</f>
        <v>700</v>
      </c>
      <c r="G4" s="36">
        <f>'Sales-5'!E4</f>
        <v>0</v>
      </c>
      <c r="H4" s="36">
        <f>'Sales-6'!E4</f>
        <v>700</v>
      </c>
      <c r="I4" s="36">
        <f>'Sales-7'!E4</f>
        <v>1400</v>
      </c>
      <c r="J4" s="34">
        <f t="shared" ref="J4:J67" si="0">SUM(C4:I4)</f>
        <v>8400</v>
      </c>
    </row>
    <row r="5" spans="1:15" ht="15" thickBot="1" x14ac:dyDescent="0.35">
      <c r="A5" s="26" t="s">
        <v>10</v>
      </c>
      <c r="B5" s="27" t="s">
        <v>11</v>
      </c>
      <c r="C5" s="36">
        <f>'Sales-1'!E5</f>
        <v>2400</v>
      </c>
      <c r="D5" s="36">
        <f>'Sales-2'!E5</f>
        <v>0</v>
      </c>
      <c r="E5" s="36">
        <f>'Sales-3'!E5</f>
        <v>800</v>
      </c>
      <c r="F5" s="36">
        <f>'Sales-4'!E5</f>
        <v>1800</v>
      </c>
      <c r="G5" s="36">
        <f>'Sales-5'!E5</f>
        <v>1800</v>
      </c>
      <c r="H5" s="36">
        <f>'Sales-6'!E5</f>
        <v>2400</v>
      </c>
      <c r="I5" s="36">
        <f>'Sales-7'!E5</f>
        <v>1800</v>
      </c>
      <c r="J5" s="34">
        <f t="shared" si="0"/>
        <v>11000</v>
      </c>
    </row>
    <row r="6" spans="1:15" ht="15" thickBot="1" x14ac:dyDescent="0.35">
      <c r="A6" s="26" t="s">
        <v>12</v>
      </c>
      <c r="B6" s="27" t="s">
        <v>13</v>
      </c>
      <c r="C6" s="36">
        <f>'Sales-1'!E6</f>
        <v>0</v>
      </c>
      <c r="D6" s="36">
        <f>'Sales-2'!E6</f>
        <v>0</v>
      </c>
      <c r="E6" s="36">
        <f>'Sales-3'!E6</f>
        <v>10000</v>
      </c>
      <c r="F6" s="36">
        <f>'Sales-4'!E6</f>
        <v>8000</v>
      </c>
      <c r="G6" s="36">
        <f>'Sales-5'!E6</f>
        <v>0</v>
      </c>
      <c r="H6" s="36">
        <f>'Sales-6'!E6</f>
        <v>3000</v>
      </c>
      <c r="I6" s="36">
        <f>'Sales-7'!E6</f>
        <v>1000</v>
      </c>
      <c r="J6" s="34">
        <f t="shared" si="0"/>
        <v>22000</v>
      </c>
    </row>
    <row r="7" spans="1:15" ht="15" thickBot="1" x14ac:dyDescent="0.35">
      <c r="A7" s="26" t="s">
        <v>14</v>
      </c>
      <c r="B7" s="27" t="s">
        <v>15</v>
      </c>
      <c r="C7" s="36">
        <f>'Sales-1'!E7</f>
        <v>0</v>
      </c>
      <c r="D7" s="36">
        <f>'Sales-2'!E7</f>
        <v>0</v>
      </c>
      <c r="E7" s="36">
        <f>'Sales-3'!E7</f>
        <v>0</v>
      </c>
      <c r="F7" s="36">
        <f>'Sales-4'!E7</f>
        <v>0</v>
      </c>
      <c r="G7" s="36">
        <f>'Sales-5'!E7</f>
        <v>0</v>
      </c>
      <c r="H7" s="36">
        <f>'Sales-6'!E7</f>
        <v>0</v>
      </c>
      <c r="I7" s="36">
        <f>'Sales-7'!E7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'Sales-1'!E8</f>
        <v>0</v>
      </c>
      <c r="D8" s="36">
        <f>'Sales-2'!E9</f>
        <v>0</v>
      </c>
      <c r="E8" s="36">
        <f>'Sales-3'!E8</f>
        <v>9000</v>
      </c>
      <c r="F8" s="36">
        <f>'Sales-4'!E9</f>
        <v>0</v>
      </c>
      <c r="G8" s="36">
        <f>'Sales-5'!E8</f>
        <v>0</v>
      </c>
      <c r="H8" s="36">
        <f>'Sales-6'!E9</f>
        <v>0</v>
      </c>
      <c r="I8" s="36">
        <f>'Sales-7'!E9</f>
        <v>0</v>
      </c>
      <c r="J8" s="34">
        <f t="shared" si="0"/>
        <v>9000</v>
      </c>
    </row>
    <row r="9" spans="1:15" ht="15" thickBot="1" x14ac:dyDescent="0.35">
      <c r="A9" s="21">
        <v>2</v>
      </c>
      <c r="B9" s="38" t="s">
        <v>16</v>
      </c>
      <c r="C9" s="36">
        <f>'Sales-1'!E9</f>
        <v>0</v>
      </c>
      <c r="D9" s="36">
        <f>'Sales-2'!E10</f>
        <v>0</v>
      </c>
      <c r="E9" s="36">
        <f>'Sales-3'!E10</f>
        <v>0</v>
      </c>
      <c r="F9" s="36">
        <f>'Sales-4'!E10</f>
        <v>0</v>
      </c>
      <c r="G9" s="36">
        <f>'Sales-5'!E9</f>
        <v>0</v>
      </c>
      <c r="H9" s="36">
        <f>'Sales-6'!E10</f>
        <v>0</v>
      </c>
      <c r="I9" s="36">
        <f>'Sales-7'!E10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'Sales-1'!E10</f>
        <v>4800</v>
      </c>
      <c r="D10" s="36">
        <f>'Sales-2'!E11</f>
        <v>4800</v>
      </c>
      <c r="E10" s="36">
        <f>'Sales-3'!E11</f>
        <v>0</v>
      </c>
      <c r="F10" s="36">
        <f>'Sales-4'!E11</f>
        <v>600</v>
      </c>
      <c r="G10" s="36">
        <f>'Sales-5'!E10</f>
        <v>600</v>
      </c>
      <c r="H10" s="36">
        <f>'Sales-6'!E11</f>
        <v>600</v>
      </c>
      <c r="I10" s="36">
        <f>'Sales-7'!E11</f>
        <v>1900</v>
      </c>
      <c r="J10" s="34">
        <f t="shared" si="0"/>
        <v>13300</v>
      </c>
    </row>
    <row r="11" spans="1:15" ht="15" thickBot="1" x14ac:dyDescent="0.35">
      <c r="A11" s="26" t="s">
        <v>8</v>
      </c>
      <c r="B11" s="27" t="s">
        <v>18</v>
      </c>
      <c r="C11" s="36">
        <f>'Sales-1'!E11</f>
        <v>0</v>
      </c>
      <c r="D11" s="36">
        <f>'Sales-2'!E12</f>
        <v>0</v>
      </c>
      <c r="E11" s="36">
        <f>'Sales-3'!E12</f>
        <v>0</v>
      </c>
      <c r="F11" s="36">
        <f>'Sales-4'!E12</f>
        <v>0</v>
      </c>
      <c r="G11" s="36">
        <f>'Sales-5'!E11</f>
        <v>0</v>
      </c>
      <c r="H11" s="36">
        <f>'Sales-6'!E12</f>
        <v>0</v>
      </c>
      <c r="I11" s="36">
        <f>'Sales-7'!E12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'Sales-1'!E12</f>
        <v>0</v>
      </c>
      <c r="D12" s="36">
        <f>'Sales-2'!E13</f>
        <v>0</v>
      </c>
      <c r="E12" s="36">
        <f>'Sales-3'!E13</f>
        <v>0</v>
      </c>
      <c r="F12" s="36">
        <f>'Sales-4'!E13</f>
        <v>0</v>
      </c>
      <c r="G12" s="36">
        <f>'Sales-5'!E12</f>
        <v>0</v>
      </c>
      <c r="H12" s="36">
        <f>'Sales-6'!E13</f>
        <v>0</v>
      </c>
      <c r="I12" s="36">
        <f>'Sales-7'!E13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'Sales-1'!E13</f>
        <v>0</v>
      </c>
      <c r="D13" s="36">
        <f>'Sales-2'!E14</f>
        <v>0</v>
      </c>
      <c r="E13" s="36">
        <f>'Sales-3'!E14</f>
        <v>0</v>
      </c>
      <c r="F13" s="36">
        <f>'Sales-4'!E14</f>
        <v>0</v>
      </c>
      <c r="G13" s="36">
        <f>'Sales-5'!E13</f>
        <v>0</v>
      </c>
      <c r="H13" s="36">
        <f>'Sales-6'!E14</f>
        <v>0</v>
      </c>
      <c r="I13" s="36">
        <f>'Sales-7'!E14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'Sales-1'!E14</f>
        <v>4500</v>
      </c>
      <c r="D14" s="36">
        <f>'Sales-2'!E15</f>
        <v>3000</v>
      </c>
      <c r="E14" s="36">
        <f>'Sales-3'!E15</f>
        <v>0</v>
      </c>
      <c r="F14" s="36">
        <f>'Sales-4'!E15</f>
        <v>0</v>
      </c>
      <c r="G14" s="36">
        <f>'Sales-5'!E14</f>
        <v>6000</v>
      </c>
      <c r="H14" s="36">
        <f>'Sales-6'!E15</f>
        <v>3000</v>
      </c>
      <c r="I14" s="36">
        <f>'Sales-7'!E15</f>
        <v>0</v>
      </c>
      <c r="J14" s="34">
        <f t="shared" si="0"/>
        <v>16500</v>
      </c>
    </row>
    <row r="15" spans="1:15" ht="15" thickBot="1" x14ac:dyDescent="0.35">
      <c r="A15" s="26" t="s">
        <v>22</v>
      </c>
      <c r="B15" s="27" t="s">
        <v>23</v>
      </c>
      <c r="C15" s="36">
        <f>'Sales-1'!E15</f>
        <v>2000</v>
      </c>
      <c r="D15" s="36">
        <f>'Sales-2'!E16</f>
        <v>500</v>
      </c>
      <c r="E15" s="36">
        <f>'Sales-3'!E16</f>
        <v>3500</v>
      </c>
      <c r="F15" s="36">
        <f>'Sales-4'!E16</f>
        <v>0</v>
      </c>
      <c r="G15" s="36">
        <f>'Sales-5'!E15</f>
        <v>500</v>
      </c>
      <c r="H15" s="36">
        <f>'Sales-6'!E16</f>
        <v>2800</v>
      </c>
      <c r="I15" s="36">
        <f>'Sales-7'!E16</f>
        <v>1000</v>
      </c>
      <c r="J15" s="34">
        <f t="shared" si="0"/>
        <v>10300</v>
      </c>
    </row>
    <row r="16" spans="1:15" ht="15" thickBot="1" x14ac:dyDescent="0.35">
      <c r="A16" s="26" t="s">
        <v>24</v>
      </c>
      <c r="B16" s="27" t="s">
        <v>25</v>
      </c>
      <c r="C16" s="36">
        <f>'Sales-1'!E16</f>
        <v>4000</v>
      </c>
      <c r="D16" s="36">
        <f>'Sales-2'!E17</f>
        <v>2400</v>
      </c>
      <c r="E16" s="36">
        <f>'Sales-3'!E17</f>
        <v>2400</v>
      </c>
      <c r="F16" s="36">
        <f>'Sales-4'!E17</f>
        <v>0</v>
      </c>
      <c r="G16" s="36">
        <f>'Sales-5'!E16</f>
        <v>2400</v>
      </c>
      <c r="H16" s="36">
        <f>'Sales-6'!E17</f>
        <v>400</v>
      </c>
      <c r="I16" s="36">
        <f>'Sales-7'!E17</f>
        <v>1200</v>
      </c>
      <c r="J16" s="34">
        <f t="shared" si="0"/>
        <v>12800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'Sales-1'!E17</f>
        <v>0</v>
      </c>
      <c r="D17" s="36">
        <f>'Sales-2'!E18</f>
        <v>0</v>
      </c>
      <c r="E17" s="36">
        <f>'Sales-3'!E18</f>
        <v>0</v>
      </c>
      <c r="F17" s="36">
        <f>'Sales-4'!E18</f>
        <v>0</v>
      </c>
      <c r="G17" s="36">
        <f>'Sales-5'!E17</f>
        <v>0</v>
      </c>
      <c r="H17" s="36">
        <f>'Sales-6'!E18</f>
        <v>0</v>
      </c>
      <c r="I17" s="36">
        <f>'Sales-7'!E18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'Sales-1'!E18</f>
        <v>2400</v>
      </c>
      <c r="D18" s="36">
        <f>'Sales-2'!E19</f>
        <v>2000</v>
      </c>
      <c r="E18" s="36">
        <f>'Sales-3'!E19</f>
        <v>1200</v>
      </c>
      <c r="F18" s="36">
        <f>'Sales-4'!E19</f>
        <v>0</v>
      </c>
      <c r="G18" s="36">
        <f>'Sales-5'!E18</f>
        <v>400</v>
      </c>
      <c r="H18" s="36">
        <f>'Sales-6'!E19</f>
        <v>800</v>
      </c>
      <c r="I18" s="36">
        <f>'Sales-7'!E19</f>
        <v>1550</v>
      </c>
      <c r="J18" s="34">
        <f t="shared" si="0"/>
        <v>8350</v>
      </c>
    </row>
    <row r="19" spans="1:10" ht="15" thickBot="1" x14ac:dyDescent="0.35">
      <c r="A19" s="26" t="s">
        <v>30</v>
      </c>
      <c r="B19" s="27" t="s">
        <v>31</v>
      </c>
      <c r="C19" s="36">
        <f>'Sales-1'!E19</f>
        <v>500</v>
      </c>
      <c r="D19" s="36">
        <f>'Sales-2'!E20</f>
        <v>3500</v>
      </c>
      <c r="E19" s="36">
        <f>'Sales-3'!E20</f>
        <v>3500</v>
      </c>
      <c r="F19" s="36">
        <f>'Sales-4'!E20</f>
        <v>500</v>
      </c>
      <c r="G19" s="36">
        <f>'Sales-5'!E19</f>
        <v>0</v>
      </c>
      <c r="H19" s="36">
        <f>'Sales-6'!E20</f>
        <v>1000</v>
      </c>
      <c r="I19" s="36">
        <f>'Sales-7'!E20</f>
        <v>500</v>
      </c>
      <c r="J19" s="34">
        <f t="shared" si="0"/>
        <v>9500</v>
      </c>
    </row>
    <row r="20" spans="1:10" ht="15" thickBot="1" x14ac:dyDescent="0.35">
      <c r="A20" s="26" t="s">
        <v>32</v>
      </c>
      <c r="B20" s="27" t="s">
        <v>33</v>
      </c>
      <c r="C20" s="36">
        <f>'Sales-1'!E20</f>
        <v>3400</v>
      </c>
      <c r="D20" s="36">
        <f>'Sales-2'!E21</f>
        <v>3400</v>
      </c>
      <c r="E20" s="36">
        <f>'Sales-3'!E21</f>
        <v>1400</v>
      </c>
      <c r="F20" s="36">
        <f>'Sales-4'!E21</f>
        <v>1200</v>
      </c>
      <c r="G20" s="36">
        <f>'Sales-5'!E20</f>
        <v>800</v>
      </c>
      <c r="H20" s="36">
        <f>'Sales-6'!E21</f>
        <v>1600</v>
      </c>
      <c r="I20" s="36">
        <f>'Sales-7'!E21</f>
        <v>1600</v>
      </c>
      <c r="J20" s="34">
        <f t="shared" si="0"/>
        <v>13400</v>
      </c>
    </row>
    <row r="21" spans="1:10" ht="15" thickBot="1" x14ac:dyDescent="0.35">
      <c r="A21" s="26" t="s">
        <v>34</v>
      </c>
      <c r="B21" s="27" t="s">
        <v>35</v>
      </c>
      <c r="C21" s="36">
        <f>'Sales-1'!E21</f>
        <v>4000</v>
      </c>
      <c r="D21" s="36">
        <f>'Sales-2'!E22</f>
        <v>500</v>
      </c>
      <c r="E21" s="36">
        <f>'Sales-3'!E22</f>
        <v>5400</v>
      </c>
      <c r="F21" s="36">
        <f>'Sales-4'!E22</f>
        <v>2000</v>
      </c>
      <c r="G21" s="36">
        <f>'Sales-5'!E21</f>
        <v>1000</v>
      </c>
      <c r="H21" s="36">
        <f>'Sales-6'!E22</f>
        <v>1500</v>
      </c>
      <c r="I21" s="36">
        <f>'Sales-7'!E22</f>
        <v>1500</v>
      </c>
      <c r="J21" s="34">
        <f t="shared" si="0"/>
        <v>15900</v>
      </c>
    </row>
    <row r="22" spans="1:10" ht="15" thickBot="1" x14ac:dyDescent="0.35">
      <c r="A22" s="26" t="s">
        <v>66</v>
      </c>
      <c r="B22" s="27" t="s">
        <v>91</v>
      </c>
      <c r="C22" s="36">
        <f>'Sales-1'!E22</f>
        <v>0</v>
      </c>
      <c r="D22" s="36">
        <f>'Sales-2'!E23</f>
        <v>0</v>
      </c>
      <c r="E22" s="36">
        <f>'Sales-3'!E23</f>
        <v>600</v>
      </c>
      <c r="F22" s="36">
        <f>'Sales-4'!E23</f>
        <v>0</v>
      </c>
      <c r="G22" s="36">
        <f>'Sales-5'!E22</f>
        <v>0</v>
      </c>
      <c r="H22" s="36">
        <f>'Sales-6'!E23</f>
        <v>0</v>
      </c>
      <c r="I22" s="36">
        <f>'Sales-7'!E23</f>
        <v>0</v>
      </c>
      <c r="J22" s="34">
        <f t="shared" si="0"/>
        <v>600</v>
      </c>
    </row>
    <row r="23" spans="1:10" ht="15" thickBot="1" x14ac:dyDescent="0.35">
      <c r="A23" s="26" t="s">
        <v>68</v>
      </c>
      <c r="B23" s="27" t="s">
        <v>92</v>
      </c>
      <c r="C23" s="36">
        <f>'Sales-1'!E23</f>
        <v>0</v>
      </c>
      <c r="D23" s="36">
        <f>'Sales-2'!E24</f>
        <v>0</v>
      </c>
      <c r="E23" s="36">
        <f>'Sales-3'!E24</f>
        <v>0</v>
      </c>
      <c r="F23" s="36">
        <f>'Sales-4'!E24</f>
        <v>0</v>
      </c>
      <c r="G23" s="36">
        <f>'Sales-5'!E23</f>
        <v>0</v>
      </c>
      <c r="H23" s="36">
        <f>'Sales-6'!E24</f>
        <v>0</v>
      </c>
      <c r="I23" s="36">
        <f>'Sales-7'!E24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'Sales-1'!E24</f>
        <v>1200</v>
      </c>
      <c r="D24" s="36">
        <f>'Sales-2'!E25</f>
        <v>0</v>
      </c>
      <c r="E24" s="36">
        <f>'Sales-3'!E25</f>
        <v>0</v>
      </c>
      <c r="F24" s="36">
        <f>'Sales-4'!E25</f>
        <v>1200</v>
      </c>
      <c r="G24" s="36">
        <f>'Sales-5'!E24</f>
        <v>2400</v>
      </c>
      <c r="H24" s="36">
        <f>'Sales-6'!E25</f>
        <v>3000</v>
      </c>
      <c r="I24" s="36">
        <f>'Sales-7'!E25</f>
        <v>700</v>
      </c>
      <c r="J24" s="34">
        <f t="shared" si="0"/>
        <v>8500</v>
      </c>
    </row>
    <row r="25" spans="1:10" ht="15" thickBot="1" x14ac:dyDescent="0.35">
      <c r="A25" s="26" t="s">
        <v>72</v>
      </c>
      <c r="B25" s="27" t="s">
        <v>93</v>
      </c>
      <c r="C25" s="36">
        <f>'Sales-1'!E25</f>
        <v>0</v>
      </c>
      <c r="D25" s="36">
        <f>'Sales-2'!E26</f>
        <v>0</v>
      </c>
      <c r="E25" s="36">
        <f>'Sales-3'!E26</f>
        <v>0</v>
      </c>
      <c r="F25" s="36">
        <f>'Sales-4'!E26</f>
        <v>0</v>
      </c>
      <c r="G25" s="36">
        <f>'Sales-5'!E25</f>
        <v>0</v>
      </c>
      <c r="H25" s="36">
        <f>'Sales-6'!E26</f>
        <v>0</v>
      </c>
      <c r="I25" s="36">
        <f>'Sales-7'!E26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'Sales-1'!E26</f>
        <v>0</v>
      </c>
      <c r="D26" s="36">
        <f>'Sales-2'!E27</f>
        <v>0</v>
      </c>
      <c r="E26" s="36">
        <f>'Sales-3'!E27</f>
        <v>0</v>
      </c>
      <c r="F26" s="36">
        <f>'Sales-4'!E27</f>
        <v>0</v>
      </c>
      <c r="G26" s="36">
        <f>'Sales-5'!E26</f>
        <v>0</v>
      </c>
      <c r="H26" s="36">
        <f>'Sales-6'!E28</f>
        <v>0</v>
      </c>
      <c r="I26" s="36">
        <f>'Sales-7'!E27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'Sales-1'!E27</f>
        <v>0</v>
      </c>
      <c r="D27" s="36">
        <f>'Sales-2'!E28</f>
        <v>0</v>
      </c>
      <c r="E27" s="36">
        <f>'Sales-3'!E28</f>
        <v>0</v>
      </c>
      <c r="F27" s="36">
        <f>'Sales-4'!E28</f>
        <v>0</v>
      </c>
      <c r="G27" s="36">
        <f>'Sales-5'!E27</f>
        <v>0</v>
      </c>
      <c r="H27" s="36">
        <f>'Sales-6'!E29</f>
        <v>0</v>
      </c>
      <c r="I27" s="36">
        <f>'Sales-7'!E28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'Sales-1'!E28</f>
        <v>0</v>
      </c>
      <c r="D28" s="36">
        <f>'Sales-2'!E29</f>
        <v>17000</v>
      </c>
      <c r="E28" s="36">
        <f>'Sales-3'!E29</f>
        <v>19300</v>
      </c>
      <c r="F28" s="36">
        <f>'Sales-4'!E29</f>
        <v>10700</v>
      </c>
      <c r="G28" s="36">
        <f>'Sales-5'!E28</f>
        <v>9600</v>
      </c>
      <c r="H28" s="36">
        <f>'Sales-6'!E30</f>
        <v>13700</v>
      </c>
      <c r="I28" s="36">
        <f>'Sales-7'!E29</f>
        <v>9000</v>
      </c>
      <c r="J28" s="34">
        <f t="shared" si="0"/>
        <v>79300</v>
      </c>
    </row>
    <row r="29" spans="1:10" ht="15" thickBot="1" x14ac:dyDescent="0.35">
      <c r="A29" s="26" t="s">
        <v>8</v>
      </c>
      <c r="B29" s="27" t="s">
        <v>38</v>
      </c>
      <c r="C29" s="36">
        <f>'Sales-1'!E29</f>
        <v>700</v>
      </c>
      <c r="D29" s="36">
        <f>'Sales-2'!E30</f>
        <v>11000</v>
      </c>
      <c r="E29" s="36">
        <f>'Sales-3'!E30</f>
        <v>13000</v>
      </c>
      <c r="F29" s="36">
        <f>'Sales-4'!E30</f>
        <v>25200</v>
      </c>
      <c r="G29" s="36">
        <f>'Sales-5'!E29</f>
        <v>17950</v>
      </c>
      <c r="H29" s="36">
        <f>'Sales-6'!E31</f>
        <v>13500</v>
      </c>
      <c r="I29" s="36">
        <f>'Sales-7'!E30</f>
        <v>7250</v>
      </c>
      <c r="J29" s="34">
        <f t="shared" si="0"/>
        <v>88600</v>
      </c>
    </row>
    <row r="30" spans="1:10" ht="15" thickBot="1" x14ac:dyDescent="0.35">
      <c r="A30" s="26" t="s">
        <v>10</v>
      </c>
      <c r="B30" s="27" t="s">
        <v>39</v>
      </c>
      <c r="C30" s="36">
        <f>'Sales-1'!E30</f>
        <v>0</v>
      </c>
      <c r="D30" s="36">
        <f>'Sales-2'!E31</f>
        <v>0</v>
      </c>
      <c r="E30" s="36">
        <f>'Sales-3'!E31</f>
        <v>0</v>
      </c>
      <c r="F30" s="36">
        <f>'Sales-4'!E31</f>
        <v>0</v>
      </c>
      <c r="G30" s="36">
        <f>'Sales-5'!E30</f>
        <v>0</v>
      </c>
      <c r="H30" s="36">
        <f>'Sales-6'!E32</f>
        <v>0</v>
      </c>
      <c r="I30" s="36">
        <f>'Sales-7'!E31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'Sales-1'!E31</f>
        <v>0</v>
      </c>
      <c r="D31" s="36">
        <f>'Sales-2'!E32</f>
        <v>0</v>
      </c>
      <c r="E31" s="36">
        <f>'Sales-3'!E32</f>
        <v>0</v>
      </c>
      <c r="F31" s="36">
        <f>'Sales-4'!E32</f>
        <v>0</v>
      </c>
      <c r="G31" s="36">
        <f>'Sales-5'!E31</f>
        <v>0</v>
      </c>
      <c r="H31" s="36">
        <f>'Sales-6'!E33</f>
        <v>0</v>
      </c>
      <c r="I31" s="36">
        <f>'Sales-7'!E32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'Sales-1'!E32</f>
        <v>0</v>
      </c>
      <c r="D32" s="36">
        <f>'Sales-2'!E33</f>
        <v>5000</v>
      </c>
      <c r="E32" s="36">
        <f>'Sales-3'!E33</f>
        <v>0</v>
      </c>
      <c r="F32" s="36">
        <f>'Sales-4'!E33</f>
        <v>0</v>
      </c>
      <c r="G32" s="36">
        <f>'Sales-5'!E32</f>
        <v>0</v>
      </c>
      <c r="H32" s="36">
        <f>'Sales-6'!E34</f>
        <v>0</v>
      </c>
      <c r="I32" s="36">
        <f>'Sales-7'!E33</f>
        <v>0</v>
      </c>
      <c r="J32" s="34">
        <f t="shared" si="0"/>
        <v>5000</v>
      </c>
    </row>
    <row r="33" spans="1:18" ht="15" thickBot="1" x14ac:dyDescent="0.35">
      <c r="A33" s="26" t="s">
        <v>22</v>
      </c>
      <c r="B33" s="27" t="s">
        <v>42</v>
      </c>
      <c r="C33" s="36">
        <f>'Sales-1'!E33</f>
        <v>500</v>
      </c>
      <c r="D33" s="36">
        <f>'Sales-2'!E34</f>
        <v>500</v>
      </c>
      <c r="E33" s="36">
        <f>'Sales-3'!E34</f>
        <v>500</v>
      </c>
      <c r="F33" s="36">
        <f>'Sales-4'!E34</f>
        <v>0</v>
      </c>
      <c r="G33" s="36">
        <f>'Sales-5'!E33</f>
        <v>500</v>
      </c>
      <c r="H33" s="36">
        <f>'Sales-6'!E35</f>
        <v>500</v>
      </c>
      <c r="I33" s="36">
        <f>'Sales-7'!E34</f>
        <v>500</v>
      </c>
      <c r="J33" s="34">
        <f t="shared" si="0"/>
        <v>3000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'Sales-1'!E34</f>
        <v>0</v>
      </c>
      <c r="D34" s="36">
        <f>'Sales-2'!E35</f>
        <v>3000</v>
      </c>
      <c r="E34" s="36">
        <f>'Sales-3'!E35</f>
        <v>0</v>
      </c>
      <c r="F34" s="36">
        <f>'Sales-4'!E35</f>
        <v>0</v>
      </c>
      <c r="G34" s="36">
        <f>'Sales-5'!E34</f>
        <v>0</v>
      </c>
      <c r="H34" s="36">
        <f>'Sales-6'!E36</f>
        <v>0</v>
      </c>
      <c r="I34" s="36">
        <f>'Sales-7'!E35</f>
        <v>0</v>
      </c>
      <c r="J34" s="34">
        <f t="shared" si="0"/>
        <v>3000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'Sales-1'!E35</f>
        <v>0</v>
      </c>
      <c r="D35" s="36">
        <f>'Sales-2'!E36</f>
        <v>0</v>
      </c>
      <c r="E35" s="36">
        <f>'Sales-3'!E36</f>
        <v>0</v>
      </c>
      <c r="F35" s="36">
        <f>'Sales-4'!E36</f>
        <v>0</v>
      </c>
      <c r="G35" s="36">
        <f>'Sales-5'!E35</f>
        <v>0</v>
      </c>
      <c r="H35" s="36">
        <f>'Sales-6'!E37</f>
        <v>0</v>
      </c>
      <c r="I35" s="36">
        <f>'Sales-7'!E36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'Sales-1'!E36</f>
        <v>2700</v>
      </c>
      <c r="D36" s="36">
        <f>'Sales-2'!E37</f>
        <v>0</v>
      </c>
      <c r="E36" s="36">
        <f>'Sales-3'!E37</f>
        <v>0</v>
      </c>
      <c r="F36" s="36">
        <f>'Sales-4'!E37</f>
        <v>0</v>
      </c>
      <c r="G36" s="36">
        <f>'Sales-5'!E36</f>
        <v>0</v>
      </c>
      <c r="H36" s="36">
        <f>'Sales-6'!E38</f>
        <v>0</v>
      </c>
      <c r="I36" s="36">
        <f>'Sales-7'!E37</f>
        <v>0</v>
      </c>
      <c r="J36" s="34">
        <f t="shared" si="0"/>
        <v>2700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'Sales-1'!E37</f>
        <v>5000</v>
      </c>
      <c r="D37" s="36">
        <f>'Sales-2'!E38</f>
        <v>0</v>
      </c>
      <c r="E37" s="36">
        <f>'Sales-3'!E38</f>
        <v>0</v>
      </c>
      <c r="F37" s="36">
        <f>'Sales-4'!E38</f>
        <v>0</v>
      </c>
      <c r="G37" s="36">
        <f>'Sales-5'!E37</f>
        <v>0</v>
      </c>
      <c r="H37" s="36">
        <f>'Sales-6'!E39</f>
        <v>0</v>
      </c>
      <c r="I37" s="36">
        <f>'Sales-7'!E38</f>
        <v>0</v>
      </c>
      <c r="J37" s="34">
        <f t="shared" si="0"/>
        <v>5000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'Sales-1'!E38</f>
        <v>3000</v>
      </c>
      <c r="D38" s="36">
        <f>'Sales-2'!E39</f>
        <v>1200</v>
      </c>
      <c r="E38" s="36">
        <f>'Sales-3'!E39</f>
        <v>600</v>
      </c>
      <c r="F38" s="36">
        <f>'Sales-4'!E39</f>
        <v>0</v>
      </c>
      <c r="G38" s="36">
        <f>'Sales-5'!E38</f>
        <v>0</v>
      </c>
      <c r="H38" s="36">
        <f>'Sales-6'!E40</f>
        <v>0</v>
      </c>
      <c r="I38" s="36">
        <f>'Sales-7'!E39</f>
        <v>0</v>
      </c>
      <c r="J38" s="34">
        <f t="shared" si="0"/>
        <v>4800</v>
      </c>
      <c r="O38" s="32"/>
      <c r="R38"/>
    </row>
    <row r="39" spans="1:18" ht="15" thickBot="1" x14ac:dyDescent="0.35">
      <c r="A39" s="27"/>
      <c r="B39" s="27"/>
      <c r="C39" s="36">
        <f>'Sales-1'!E39</f>
        <v>0</v>
      </c>
      <c r="D39" s="36">
        <f>'Sales-2'!E40</f>
        <v>0</v>
      </c>
      <c r="E39" s="36">
        <f>'Sales-3'!E41</f>
        <v>0</v>
      </c>
      <c r="F39" s="36">
        <f>'Sales-4'!E40</f>
        <v>0</v>
      </c>
      <c r="G39" s="36">
        <f>'Sales-5'!E39</f>
        <v>0</v>
      </c>
      <c r="H39" s="36">
        <f>'Sales-6'!E41</f>
        <v>0</v>
      </c>
      <c r="I39" s="36">
        <f>'Sales-7'!E40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'Sales-1'!E40</f>
        <v>0</v>
      </c>
      <c r="D40" s="36">
        <f>'Sales-2'!E41</f>
        <v>0</v>
      </c>
      <c r="E40" s="36">
        <f>'Sales-3'!E42</f>
        <v>0</v>
      </c>
      <c r="F40" s="36">
        <f>'Sales-4'!E41</f>
        <v>0</v>
      </c>
      <c r="G40" s="36">
        <f>'Sales-5'!E40</f>
        <v>0</v>
      </c>
      <c r="H40" s="36">
        <f>'Sales-6'!E42</f>
        <v>0</v>
      </c>
      <c r="I40" s="36">
        <f>'Sales-7'!E41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'Sales-1'!E41</f>
        <v>1900</v>
      </c>
      <c r="D41" s="36">
        <f>'Sales-2'!E42</f>
        <v>700</v>
      </c>
      <c r="E41" s="36">
        <f>'Sales-3'!E43</f>
        <v>1400</v>
      </c>
      <c r="F41" s="36">
        <f>'Sales-4'!E42</f>
        <v>1400</v>
      </c>
      <c r="G41" s="36">
        <f>'Sales-5'!E41</f>
        <v>1400</v>
      </c>
      <c r="H41" s="36">
        <f>'Sales-6'!E43</f>
        <v>0</v>
      </c>
      <c r="I41" s="36">
        <f>'Sales-7'!E42</f>
        <v>1000</v>
      </c>
      <c r="J41" s="34">
        <f t="shared" si="0"/>
        <v>7800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'Sales-1'!E42</f>
        <v>350</v>
      </c>
      <c r="D42" s="36">
        <f>'Sales-2'!E43</f>
        <v>350</v>
      </c>
      <c r="E42" s="36">
        <f>'Sales-3'!E44</f>
        <v>1400</v>
      </c>
      <c r="F42" s="36">
        <f>'Sales-4'!E43</f>
        <v>1100</v>
      </c>
      <c r="G42" s="36">
        <f>'Sales-5'!E42</f>
        <v>0</v>
      </c>
      <c r="H42" s="36">
        <f>'Sales-6'!E44</f>
        <v>0</v>
      </c>
      <c r="I42" s="36">
        <f>'Sales-7'!E43</f>
        <v>1050</v>
      </c>
      <c r="J42" s="34">
        <f t="shared" si="0"/>
        <v>4250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'Sales-1'!E43</f>
        <v>0</v>
      </c>
      <c r="D43" s="36">
        <f>'Sales-2'!E44</f>
        <v>0</v>
      </c>
      <c r="E43" s="36">
        <f>'Sales-3'!E45</f>
        <v>0</v>
      </c>
      <c r="F43" s="36">
        <f>'Sales-4'!E44</f>
        <v>0</v>
      </c>
      <c r="G43" s="36">
        <f>'Sales-5'!E43</f>
        <v>0</v>
      </c>
      <c r="H43" s="36">
        <f>'Sales-6'!E45</f>
        <v>0</v>
      </c>
      <c r="I43" s="36">
        <f>'Sales-7'!E44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'Sales-1'!E44</f>
        <v>0</v>
      </c>
      <c r="D44" s="36">
        <f>'Sales-2'!E45</f>
        <v>0</v>
      </c>
      <c r="E44" s="36">
        <f>'Sales-3'!E46</f>
        <v>0</v>
      </c>
      <c r="F44" s="36">
        <f>'Sales-4'!E45</f>
        <v>0</v>
      </c>
      <c r="G44" s="36">
        <f>'Sales-5'!E44</f>
        <v>0</v>
      </c>
      <c r="H44" s="36">
        <f>'Sales-6'!E46</f>
        <v>0</v>
      </c>
      <c r="I44" s="36">
        <f>'Sales-7'!E45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'Sales-1'!E45</f>
        <v>0</v>
      </c>
      <c r="D45" s="36">
        <f>'Sales-2'!E46</f>
        <v>0</v>
      </c>
      <c r="E45" s="36">
        <f>'Sales-3'!E47</f>
        <v>0</v>
      </c>
      <c r="F45" s="36">
        <f>'Sales-4'!E46</f>
        <v>0</v>
      </c>
      <c r="G45" s="36">
        <f>'Sales-5'!E45</f>
        <v>0</v>
      </c>
      <c r="H45" s="36">
        <f>'Sales-6'!E47</f>
        <v>0</v>
      </c>
      <c r="I45" s="36">
        <f>'Sales-7'!E46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'Sales-1'!E46</f>
        <v>0</v>
      </c>
      <c r="D46" s="36">
        <f>'Sales-2'!E47</f>
        <v>0</v>
      </c>
      <c r="E46" s="36">
        <f>'Sales-3'!E48</f>
        <v>0</v>
      </c>
      <c r="F46" s="36">
        <f>'Sales-4'!E47</f>
        <v>0</v>
      </c>
      <c r="G46" s="36">
        <f>'Sales-5'!E46</f>
        <v>0</v>
      </c>
      <c r="H46" s="36">
        <f>'Sales-6'!E48</f>
        <v>0</v>
      </c>
      <c r="I46" s="36">
        <f>'Sales-7'!E47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'Sales-1'!E47</f>
        <v>0</v>
      </c>
      <c r="D47" s="36">
        <f>'Sales-2'!E48</f>
        <v>0</v>
      </c>
      <c r="E47" s="36">
        <f>'Sales-3'!E49</f>
        <v>0</v>
      </c>
      <c r="F47" s="36">
        <f>'Sales-4'!E48</f>
        <v>0</v>
      </c>
      <c r="G47" s="36">
        <f>'Sales-5'!E47</f>
        <v>0</v>
      </c>
      <c r="H47" s="36">
        <f>'Sales-6'!E49</f>
        <v>0</v>
      </c>
      <c r="I47" s="36">
        <f>'Sales-7'!E48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'Sales-1'!E48</f>
        <v>0</v>
      </c>
      <c r="D48" s="36">
        <f>'Sales-2'!E49</f>
        <v>700</v>
      </c>
      <c r="E48" s="36">
        <f>'Sales-3'!E50</f>
        <v>200</v>
      </c>
      <c r="F48" s="36">
        <f>'Sales-4'!E49</f>
        <v>0</v>
      </c>
      <c r="G48" s="36">
        <f>'Sales-5'!E48</f>
        <v>300</v>
      </c>
      <c r="H48" s="36">
        <f>'Sales-6'!E50</f>
        <v>300</v>
      </c>
      <c r="I48" s="36">
        <f>'Sales-7'!E49</f>
        <v>500</v>
      </c>
      <c r="J48" s="34">
        <f t="shared" si="0"/>
        <v>2000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'Sales-1'!E49</f>
        <v>0</v>
      </c>
      <c r="D49" s="36">
        <f>'Sales-2'!E50</f>
        <v>0</v>
      </c>
      <c r="E49" s="36">
        <f>'Sales-3'!E51</f>
        <v>0</v>
      </c>
      <c r="F49" s="36">
        <f>'Sales-4'!E50</f>
        <v>0</v>
      </c>
      <c r="G49" s="36">
        <f>'Sales-5'!E49</f>
        <v>600</v>
      </c>
      <c r="H49" s="36">
        <f>'Sales-6'!E51</f>
        <v>400</v>
      </c>
      <c r="I49" s="36">
        <f>'Sales-7'!E50</f>
        <v>700</v>
      </c>
      <c r="J49" s="34">
        <f t="shared" si="0"/>
        <v>1700</v>
      </c>
      <c r="R49"/>
    </row>
    <row r="50" spans="1:18" ht="15" thickBot="1" x14ac:dyDescent="0.35">
      <c r="A50" s="29"/>
      <c r="B50" s="27"/>
      <c r="C50" s="36">
        <f>'Sales-1'!E50</f>
        <v>0</v>
      </c>
      <c r="D50" s="36">
        <f>'Sales-2'!E51</f>
        <v>0</v>
      </c>
      <c r="E50" s="36">
        <f>'Sales-3'!E52</f>
        <v>0</v>
      </c>
      <c r="F50" s="36">
        <f>'Sales-4'!E51</f>
        <v>0</v>
      </c>
      <c r="G50" s="36">
        <f>'Sales-5'!E50</f>
        <v>0</v>
      </c>
      <c r="H50" s="36">
        <f>'Sales-6'!E52</f>
        <v>0</v>
      </c>
      <c r="I50" s="36">
        <f>'Sales-7'!E51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'Sales-1'!E51</f>
        <v>0</v>
      </c>
      <c r="D51" s="36">
        <f>'Sales-2'!E52</f>
        <v>0</v>
      </c>
      <c r="E51" s="36">
        <f>'Sales-3'!E53</f>
        <v>0</v>
      </c>
      <c r="F51" s="36">
        <f>'Sales-4'!E52</f>
        <v>0</v>
      </c>
      <c r="G51" s="36">
        <f>'Sales-5'!E51</f>
        <v>0</v>
      </c>
      <c r="H51" s="36">
        <f>'Sales-6'!E53</f>
        <v>0</v>
      </c>
      <c r="I51" s="36">
        <f>'Sales-7'!E52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'Sales-1'!E52</f>
        <v>13300</v>
      </c>
      <c r="D52" s="36">
        <f>'Sales-2'!E53</f>
        <v>6000</v>
      </c>
      <c r="E52" s="36">
        <f>'Sales-3'!E54</f>
        <v>8800</v>
      </c>
      <c r="F52" s="36">
        <f>'Sales-4'!E53</f>
        <v>15900</v>
      </c>
      <c r="G52" s="36">
        <f>'Sales-5'!E52</f>
        <v>9500</v>
      </c>
      <c r="H52" s="36">
        <f>'Sales-6'!E54</f>
        <v>7400</v>
      </c>
      <c r="I52" s="36">
        <f>'Sales-7'!E53</f>
        <v>9000</v>
      </c>
      <c r="J52" s="34">
        <f t="shared" si="0"/>
        <v>69900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'Sales-1'!E53</f>
        <v>0</v>
      </c>
      <c r="D53" s="36">
        <f>'Sales-2'!E54</f>
        <v>0</v>
      </c>
      <c r="E53" s="36">
        <f>'Sales-3'!E55</f>
        <v>0</v>
      </c>
      <c r="F53" s="36">
        <f>'Sales-4'!E54</f>
        <v>500</v>
      </c>
      <c r="G53" s="36">
        <f>'Sales-5'!E53</f>
        <v>0</v>
      </c>
      <c r="H53" s="36">
        <f>'Sales-6'!E55</f>
        <v>0</v>
      </c>
      <c r="I53" s="36">
        <f>'Sales-7'!E54</f>
        <v>0</v>
      </c>
      <c r="J53" s="34">
        <f t="shared" si="0"/>
        <v>500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'Sales-1'!E54</f>
        <v>0</v>
      </c>
      <c r="D54" s="36">
        <f>'Sales-2'!E55</f>
        <v>400</v>
      </c>
      <c r="E54" s="36">
        <f>'Sales-3'!E56</f>
        <v>0</v>
      </c>
      <c r="F54" s="36">
        <f>'Sales-4'!E55</f>
        <v>3200</v>
      </c>
      <c r="G54" s="36">
        <f>'Sales-5'!E54</f>
        <v>0</v>
      </c>
      <c r="H54" s="36">
        <f>'Sales-6'!E56</f>
        <v>0</v>
      </c>
      <c r="I54" s="36">
        <f>'Sales-7'!E55</f>
        <v>0</v>
      </c>
      <c r="J54" s="34">
        <f t="shared" si="0"/>
        <v>3600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'Sales-1'!E55</f>
        <v>0</v>
      </c>
      <c r="D55" s="36">
        <f>'Sales-2'!E56</f>
        <v>0</v>
      </c>
      <c r="E55" s="36">
        <f>'Sales-3'!E57</f>
        <v>0</v>
      </c>
      <c r="F55" s="36">
        <f>'Sales-4'!E56</f>
        <v>0</v>
      </c>
      <c r="G55" s="36">
        <f>'Sales-5'!E55</f>
        <v>0</v>
      </c>
      <c r="H55" s="36">
        <f>'Sales-6'!E57</f>
        <v>0</v>
      </c>
      <c r="I55" s="36">
        <f>'Sales-7'!E56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'Sales-1'!E56</f>
        <v>0</v>
      </c>
      <c r="D56" s="36">
        <f>'Sales-2'!E57</f>
        <v>0</v>
      </c>
      <c r="E56" s="36">
        <f>'Sales-3'!E58</f>
        <v>0</v>
      </c>
      <c r="F56" s="36">
        <f>'Sales-4'!E57</f>
        <v>0</v>
      </c>
      <c r="G56" s="36">
        <f>'Sales-5'!E56</f>
        <v>0</v>
      </c>
      <c r="H56" s="36">
        <f>'Sales-6'!E58</f>
        <v>0</v>
      </c>
      <c r="I56" s="36">
        <f>'Sales-7'!E57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'Sales-1'!E57</f>
        <v>400</v>
      </c>
      <c r="D57" s="36">
        <f>'Sales-2'!E58</f>
        <v>0</v>
      </c>
      <c r="E57" s="36">
        <f>'Sales-3'!E59</f>
        <v>0</v>
      </c>
      <c r="F57" s="36">
        <f>'Sales-4'!E58</f>
        <v>0</v>
      </c>
      <c r="G57" s="36">
        <f>'Sales-5'!E57</f>
        <v>0</v>
      </c>
      <c r="H57" s="36">
        <f>'Sales-6'!E59</f>
        <v>0</v>
      </c>
      <c r="I57" s="36">
        <f>'Sales-7'!E58</f>
        <v>400</v>
      </c>
      <c r="J57" s="34">
        <f t="shared" si="0"/>
        <v>800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'Sales-1'!E58</f>
        <v>0</v>
      </c>
      <c r="D58" s="36">
        <f>'Sales-2'!E59</f>
        <v>6000</v>
      </c>
      <c r="E58" s="36">
        <f>'Sales-3'!E60</f>
        <v>7500</v>
      </c>
      <c r="F58" s="36">
        <f>'Sales-4'!E59</f>
        <v>0</v>
      </c>
      <c r="G58" s="36">
        <f>'Sales-5'!E58</f>
        <v>0</v>
      </c>
      <c r="H58" s="36">
        <f>'Sales-6'!E60</f>
        <v>4500</v>
      </c>
      <c r="I58" s="36">
        <f>'Sales-7'!E59</f>
        <v>0</v>
      </c>
      <c r="J58" s="34">
        <f t="shared" si="0"/>
        <v>18000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'Sales-1'!E59</f>
        <v>0</v>
      </c>
      <c r="D59" s="36">
        <f>'Sales-2'!E60</f>
        <v>0</v>
      </c>
      <c r="E59" s="36">
        <f>'Sales-3'!E61</f>
        <v>400</v>
      </c>
      <c r="F59" s="36">
        <f>'Sales-4'!E60</f>
        <v>0</v>
      </c>
      <c r="G59" s="36">
        <f>'Sales-5'!E59</f>
        <v>0</v>
      </c>
      <c r="H59" s="36">
        <f>'Sales-6'!E61</f>
        <v>0</v>
      </c>
      <c r="I59" s="36">
        <f>'Sales-7'!E60</f>
        <v>800</v>
      </c>
      <c r="J59" s="34">
        <f t="shared" si="0"/>
        <v>1200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'Sales-1'!E60</f>
        <v>0</v>
      </c>
      <c r="D60" s="36">
        <f>'Sales-2'!E61</f>
        <v>0</v>
      </c>
      <c r="E60" s="36">
        <f>'Sales-3'!E62</f>
        <v>0</v>
      </c>
      <c r="F60" s="36">
        <f>'Sales-4'!E61</f>
        <v>0</v>
      </c>
      <c r="G60" s="36">
        <f>'Sales-5'!E60</f>
        <v>0</v>
      </c>
      <c r="H60" s="36">
        <f>'Sales-6'!E62</f>
        <v>0</v>
      </c>
      <c r="I60" s="36">
        <f>'Sales-7'!E61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'Sales-1'!E61</f>
        <v>1000</v>
      </c>
      <c r="D61" s="36">
        <f>'Sales-2'!E62</f>
        <v>4500</v>
      </c>
      <c r="E61" s="36">
        <f>'Sales-3'!E63</f>
        <v>0</v>
      </c>
      <c r="F61" s="36">
        <f>'Sales-4'!E62</f>
        <v>4800</v>
      </c>
      <c r="G61" s="36">
        <f>'Sales-5'!E61</f>
        <v>0</v>
      </c>
      <c r="H61" s="36">
        <f>'Sales-6'!E63</f>
        <v>800</v>
      </c>
      <c r="I61" s="36">
        <f>'Sales-7'!E62</f>
        <v>0</v>
      </c>
      <c r="J61" s="34">
        <f t="shared" si="0"/>
        <v>11100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'Sales-1'!E62</f>
        <v>0</v>
      </c>
      <c r="D62" s="36">
        <f>'Sales-2'!E63</f>
        <v>0</v>
      </c>
      <c r="E62" s="36">
        <f>'Sales-3'!E64</f>
        <v>0</v>
      </c>
      <c r="F62" s="36">
        <f>'Sales-4'!E63</f>
        <v>0</v>
      </c>
      <c r="G62" s="36">
        <f>'Sales-5'!E62</f>
        <v>0</v>
      </c>
      <c r="H62" s="36">
        <f>'Sales-6'!E64</f>
        <v>0</v>
      </c>
      <c r="I62" s="36">
        <f>'Sales-7'!E63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'Sales-1'!E63</f>
        <v>0</v>
      </c>
      <c r="D63" s="36">
        <f>'Sales-2'!E64</f>
        <v>0</v>
      </c>
      <c r="E63" s="36">
        <f>'Sales-3'!E65</f>
        <v>0</v>
      </c>
      <c r="F63" s="36">
        <f>'Sales-4'!E64</f>
        <v>0</v>
      </c>
      <c r="G63" s="36">
        <f>'Sales-5'!E63</f>
        <v>0</v>
      </c>
      <c r="H63" s="36">
        <f>'Sales-6'!E65</f>
        <v>0</v>
      </c>
      <c r="I63" s="36">
        <f>'Sales-7'!E64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'Sales-1'!E64</f>
        <v>1200</v>
      </c>
      <c r="D64" s="36">
        <f>'Sales-2'!E65</f>
        <v>0</v>
      </c>
      <c r="E64" s="36">
        <f>'Sales-3'!E66</f>
        <v>0</v>
      </c>
      <c r="F64" s="36">
        <f>'Sales-4'!E65</f>
        <v>0</v>
      </c>
      <c r="G64" s="36">
        <f>'Sales-5'!E64</f>
        <v>0</v>
      </c>
      <c r="H64" s="36">
        <f>'Sales-6'!E66</f>
        <v>0</v>
      </c>
      <c r="I64" s="36">
        <f>'Sales-7'!E65</f>
        <v>800</v>
      </c>
      <c r="J64" s="34">
        <f t="shared" si="0"/>
        <v>2000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'Sales-1'!E65</f>
        <v>0</v>
      </c>
      <c r="D65" s="36">
        <f>'Sales-2'!E66</f>
        <v>0</v>
      </c>
      <c r="E65" s="36">
        <f>'Sales-3'!E67</f>
        <v>1800</v>
      </c>
      <c r="F65" s="36">
        <f>'Sales-4'!E66</f>
        <v>2700</v>
      </c>
      <c r="G65" s="36">
        <f>'Sales-5'!E65</f>
        <v>0</v>
      </c>
      <c r="H65" s="36">
        <f>'Sales-6'!E67</f>
        <v>0</v>
      </c>
      <c r="I65" s="36">
        <f>'Sales-7'!E66</f>
        <v>900</v>
      </c>
      <c r="J65" s="34">
        <f t="shared" si="0"/>
        <v>5400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'Sales-1'!E66</f>
        <v>0</v>
      </c>
      <c r="D66" s="36">
        <f>'Sales-2'!E67</f>
        <v>2600</v>
      </c>
      <c r="E66" s="36">
        <f>'Sales-3'!E68</f>
        <v>3900</v>
      </c>
      <c r="F66" s="36">
        <f>'Sales-4'!E67</f>
        <v>7800</v>
      </c>
      <c r="G66" s="36">
        <f>'Sales-5'!E66</f>
        <v>0</v>
      </c>
      <c r="H66" s="36">
        <f>'Sales-6'!E68</f>
        <v>0</v>
      </c>
      <c r="I66" s="36">
        <f>'Sales-7'!E67</f>
        <v>0</v>
      </c>
      <c r="J66" s="34">
        <f t="shared" si="0"/>
        <v>14300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'Sales-1'!E67</f>
        <v>0</v>
      </c>
      <c r="D67" s="36">
        <f>'Sales-2'!E68</f>
        <v>0</v>
      </c>
      <c r="E67" s="36">
        <f>'Sales-3'!E69</f>
        <v>0</v>
      </c>
      <c r="F67" s="36">
        <f>'Sales-4'!E68</f>
        <v>0</v>
      </c>
      <c r="G67" s="36">
        <f>'Sales-5'!E67</f>
        <v>0</v>
      </c>
      <c r="H67" s="36">
        <f>'Sales-6'!E69</f>
        <v>0</v>
      </c>
      <c r="I67" s="36">
        <f>'Sales-7'!E68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'Sales-1'!E68</f>
        <v>0</v>
      </c>
      <c r="D68" s="36">
        <f>'Sales-2'!E69</f>
        <v>0</v>
      </c>
      <c r="E68" s="36">
        <f>'Sales-3'!E70</f>
        <v>0</v>
      </c>
      <c r="F68" s="36">
        <f>'Sales-4'!E69</f>
        <v>0</v>
      </c>
      <c r="G68" s="36">
        <f>'Sales-5'!E68</f>
        <v>0</v>
      </c>
      <c r="H68" s="36">
        <f>'Sales-6'!E70</f>
        <v>0</v>
      </c>
      <c r="I68" s="36">
        <f>'Sales-7'!E69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'Sales-1'!E69</f>
        <v>1500</v>
      </c>
      <c r="D69" s="36">
        <f>'Sales-2'!E70</f>
        <v>0</v>
      </c>
      <c r="E69" s="36">
        <f>'Sales-3'!E71</f>
        <v>0</v>
      </c>
      <c r="F69" s="36">
        <f>'Sales-4'!E70</f>
        <v>0</v>
      </c>
      <c r="G69" s="36">
        <f>'Sales-5'!E69</f>
        <v>0</v>
      </c>
      <c r="H69" s="36">
        <f>'Sales-6'!E71</f>
        <v>0</v>
      </c>
      <c r="I69" s="36">
        <f>'Sales-7'!E70</f>
        <v>0</v>
      </c>
      <c r="J69" s="34">
        <f t="shared" si="1"/>
        <v>1500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'Sales-1'!E70</f>
        <v>0</v>
      </c>
      <c r="D70" s="36">
        <f>'Sales-2'!E71</f>
        <v>0</v>
      </c>
      <c r="E70" s="36">
        <f>'Sales-3'!E72</f>
        <v>500</v>
      </c>
      <c r="F70" s="36">
        <f>'Sales-4'!E71</f>
        <v>500</v>
      </c>
      <c r="G70" s="36">
        <f>'Sales-5'!E70</f>
        <v>0</v>
      </c>
      <c r="H70" s="36">
        <f>'Sales-6'!E72</f>
        <v>0</v>
      </c>
      <c r="I70" s="36">
        <f>'Sales-7'!E71</f>
        <v>0</v>
      </c>
      <c r="J70" s="34">
        <f t="shared" si="1"/>
        <v>1000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'Sales-1'!E71</f>
        <v>0</v>
      </c>
      <c r="D71" s="36">
        <f>'Sales-2'!E72</f>
        <v>0</v>
      </c>
      <c r="E71" s="36">
        <f>'Sales-3'!E73</f>
        <v>0</v>
      </c>
      <c r="F71" s="36">
        <f>'Sales-4'!E72</f>
        <v>0</v>
      </c>
      <c r="G71" s="36">
        <f>'Sales-5'!E71</f>
        <v>0</v>
      </c>
      <c r="H71" s="36">
        <f>'Sales-6'!E73</f>
        <v>0</v>
      </c>
      <c r="I71" s="36">
        <f>'Sales-7'!E72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'Sales-1'!E72</f>
        <v>0</v>
      </c>
      <c r="D72" s="36">
        <f>'Sales-2'!E73</f>
        <v>0</v>
      </c>
      <c r="E72" s="36">
        <f>'Sales-3'!E74</f>
        <v>0</v>
      </c>
      <c r="F72" s="36">
        <f>'Sales-4'!E73</f>
        <v>0</v>
      </c>
      <c r="G72" s="36">
        <f>'Sales-5'!E72</f>
        <v>0</v>
      </c>
      <c r="H72" s="36">
        <f>'Sales-6'!E74</f>
        <v>0</v>
      </c>
      <c r="I72" s="36">
        <f>'Sales-7'!E73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'Sales-1'!E74</f>
        <v>0</v>
      </c>
      <c r="D73" s="36">
        <f>'Sales-2'!E75</f>
        <v>0</v>
      </c>
      <c r="E73" s="36">
        <f>'Sales-3'!E75</f>
        <v>0</v>
      </c>
      <c r="F73" s="36">
        <f>'Sales-4'!E74</f>
        <v>0</v>
      </c>
      <c r="G73" s="36">
        <f>'Sales-5'!E74</f>
        <v>0</v>
      </c>
      <c r="H73" s="36">
        <f>'Sales-6'!E75</f>
        <v>0</v>
      </c>
      <c r="I73" s="36">
        <f>'Sales-7'!E74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'Sales-1'!E75</f>
        <v>0</v>
      </c>
      <c r="D74" s="36">
        <f>'Sales-2'!E76</f>
        <v>0</v>
      </c>
      <c r="E74" s="36">
        <f>'Sales-3'!E76</f>
        <v>0</v>
      </c>
      <c r="F74" s="36">
        <f>'Sales-4'!E75</f>
        <v>0</v>
      </c>
      <c r="G74" s="36">
        <f>'Sales-5'!E75</f>
        <v>0</v>
      </c>
      <c r="H74" s="36">
        <f>'Sales-6'!E76</f>
        <v>0</v>
      </c>
      <c r="I74" s="36">
        <f>'Sales-7'!E75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'Sales-1'!E76</f>
        <v>0</v>
      </c>
      <c r="D75" s="36">
        <f>'Sales-2'!E77</f>
        <v>0</v>
      </c>
      <c r="E75" s="36">
        <f>'Sales-3'!E77</f>
        <v>0</v>
      </c>
      <c r="F75" s="36">
        <f>'Sales-4'!E76</f>
        <v>0</v>
      </c>
      <c r="G75" s="36">
        <f>'Sales-5'!E76</f>
        <v>0</v>
      </c>
      <c r="H75" s="36">
        <f>'Sales-6'!E77</f>
        <v>0</v>
      </c>
      <c r="I75" s="36">
        <f>'Sales-7'!E76</f>
        <v>1000</v>
      </c>
      <c r="J75" s="34">
        <f t="shared" si="1"/>
        <v>1000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'Sales-1'!E77</f>
        <v>0</v>
      </c>
      <c r="D76" s="36">
        <f>'Sales-2'!E78</f>
        <v>0</v>
      </c>
      <c r="E76" s="36">
        <f>'Sales-3'!E78</f>
        <v>0</v>
      </c>
      <c r="F76" s="36">
        <f>'Sales-4'!E77</f>
        <v>0</v>
      </c>
      <c r="G76" s="36">
        <f>'Sales-5'!E77</f>
        <v>0</v>
      </c>
      <c r="H76" s="36">
        <f>'Sales-6'!E78</f>
        <v>0</v>
      </c>
      <c r="I76" s="36">
        <f>'Sales-7'!E77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'Sales-1'!E78</f>
        <v>0</v>
      </c>
      <c r="D77" s="36">
        <f>'Sales-2'!E79</f>
        <v>0</v>
      </c>
      <c r="E77" s="36">
        <f>'Sales-3'!E79</f>
        <v>0</v>
      </c>
      <c r="F77" s="36">
        <f>'Sales-4'!E78</f>
        <v>0</v>
      </c>
      <c r="G77" s="36">
        <f>'Sales-5'!E78</f>
        <v>0</v>
      </c>
      <c r="H77" s="36">
        <f>'Sales-6'!E79</f>
        <v>0</v>
      </c>
      <c r="I77" s="36">
        <f>'Sales-7'!E78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'Sales-1'!E79</f>
        <v>0</v>
      </c>
      <c r="D78" s="36">
        <f>'Sales-2'!E80</f>
        <v>0</v>
      </c>
      <c r="E78" s="36">
        <f>'Sales-3'!E80</f>
        <v>0</v>
      </c>
      <c r="F78" s="36">
        <f>'Sales-4'!E79</f>
        <v>0</v>
      </c>
      <c r="G78" s="36">
        <f>'Sales-5'!E79</f>
        <v>0</v>
      </c>
      <c r="H78" s="36">
        <f>'Sales-6'!E80</f>
        <v>0</v>
      </c>
      <c r="I78" s="36">
        <f>'Sales-7'!E79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'Sales-1'!E80</f>
        <v>0</v>
      </c>
      <c r="D79" s="36">
        <f>'Sales-2'!E81</f>
        <v>0</v>
      </c>
      <c r="E79" s="36">
        <f>'Sales-3'!E81</f>
        <v>0</v>
      </c>
      <c r="F79" s="36">
        <f>'Sales-4'!E80</f>
        <v>0</v>
      </c>
      <c r="G79" s="36">
        <f>'Sales-5'!E80</f>
        <v>0</v>
      </c>
      <c r="H79" s="36">
        <f>'Sales-6'!E81</f>
        <v>0</v>
      </c>
      <c r="I79" s="36">
        <f>'Sales-7'!E80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62150</v>
      </c>
      <c r="D83" s="41">
        <f t="shared" ref="D83:I83" si="2">SUM(D3:D82)</f>
        <v>79750</v>
      </c>
      <c r="E83" s="41">
        <f t="shared" si="2"/>
        <v>101300</v>
      </c>
      <c r="F83" s="41">
        <f t="shared" si="2"/>
        <v>89800</v>
      </c>
      <c r="G83" s="41">
        <f t="shared" si="2"/>
        <v>55750</v>
      </c>
      <c r="H83" s="41">
        <f t="shared" si="2"/>
        <v>61900</v>
      </c>
      <c r="I83" s="41">
        <f t="shared" si="2"/>
        <v>47750</v>
      </c>
      <c r="J83" s="34">
        <f t="shared" si="1"/>
        <v>498400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3"/>
  <sheetViews>
    <sheetView workbookViewId="0">
      <selection activeCell="D42" sqref="D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7" si="0">D3*C3</f>
        <v>0</v>
      </c>
      <c r="J3" s="32"/>
    </row>
    <row r="4" spans="1:10" x14ac:dyDescent="0.3">
      <c r="A4" s="11" t="s">
        <v>8</v>
      </c>
      <c r="B4" t="s">
        <v>9</v>
      </c>
      <c r="C4" s="12">
        <v>700</v>
      </c>
      <c r="D4">
        <v>2</v>
      </c>
      <c r="E4" s="13">
        <f t="shared" si="0"/>
        <v>1400</v>
      </c>
    </row>
    <row r="5" spans="1:10" x14ac:dyDescent="0.3">
      <c r="A5" s="11" t="s">
        <v>10</v>
      </c>
      <c r="B5" t="s">
        <v>11</v>
      </c>
      <c r="C5" s="50">
        <v>800</v>
      </c>
      <c r="D5">
        <v>3</v>
      </c>
      <c r="E5" s="13">
        <f t="shared" si="0"/>
        <v>2400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600</v>
      </c>
      <c r="D10">
        <v>8</v>
      </c>
      <c r="E10" s="13">
        <f t="shared" si="0"/>
        <v>4800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3</v>
      </c>
      <c r="E14" s="13">
        <f t="shared" si="0"/>
        <v>4500</v>
      </c>
    </row>
    <row r="15" spans="1:10" x14ac:dyDescent="0.3">
      <c r="A15" s="11" t="s">
        <v>22</v>
      </c>
      <c r="B15" t="s">
        <v>23</v>
      </c>
      <c r="C15" s="12">
        <v>500</v>
      </c>
      <c r="D15">
        <v>4</v>
      </c>
      <c r="E15" s="13">
        <f t="shared" si="0"/>
        <v>2000</v>
      </c>
    </row>
    <row r="16" spans="1:10" x14ac:dyDescent="0.3">
      <c r="A16" s="11" t="s">
        <v>24</v>
      </c>
      <c r="B16" t="s">
        <v>25</v>
      </c>
      <c r="C16" s="12">
        <v>400</v>
      </c>
      <c r="D16">
        <v>10</v>
      </c>
      <c r="E16" s="13">
        <f t="shared" si="0"/>
        <v>4000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6</v>
      </c>
      <c r="E18" s="13">
        <f t="shared" si="0"/>
        <v>2400</v>
      </c>
    </row>
    <row r="19" spans="1:5" x14ac:dyDescent="0.3">
      <c r="A19" s="11" t="s">
        <v>30</v>
      </c>
      <c r="B19" t="s">
        <v>31</v>
      </c>
      <c r="C19" s="12">
        <v>500</v>
      </c>
      <c r="D19">
        <v>1</v>
      </c>
      <c r="E19" s="13">
        <f t="shared" si="0"/>
        <v>500</v>
      </c>
    </row>
    <row r="20" spans="1:5" x14ac:dyDescent="0.3">
      <c r="A20" s="11" t="s">
        <v>32</v>
      </c>
      <c r="B20" t="s">
        <v>33</v>
      </c>
      <c r="C20" s="12">
        <v>200</v>
      </c>
      <c r="D20">
        <v>17</v>
      </c>
      <c r="E20" s="13">
        <f t="shared" si="0"/>
        <v>3400</v>
      </c>
    </row>
    <row r="21" spans="1:5" x14ac:dyDescent="0.3">
      <c r="A21" s="11" t="s">
        <v>34</v>
      </c>
      <c r="B21" t="s">
        <v>35</v>
      </c>
      <c r="C21" s="12">
        <v>500</v>
      </c>
      <c r="D21">
        <v>8</v>
      </c>
      <c r="E21" s="13">
        <f t="shared" si="0"/>
        <v>4000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2</v>
      </c>
      <c r="E24" s="13">
        <f t="shared" si="0"/>
        <v>1200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 s="53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>
        <v>3.5</v>
      </c>
      <c r="E29" s="13">
        <f t="shared" si="0"/>
        <v>700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>
        <v>1</v>
      </c>
      <c r="E33" s="13">
        <f t="shared" si="0"/>
        <v>500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100</v>
      </c>
      <c r="C36" s="12">
        <v>300</v>
      </c>
      <c r="D36">
        <v>9</v>
      </c>
      <c r="E36" s="13">
        <f t="shared" si="0"/>
        <v>2700</v>
      </c>
    </row>
    <row r="37" spans="1:10" x14ac:dyDescent="0.3">
      <c r="A37" s="11" t="s">
        <v>30</v>
      </c>
      <c r="B37" t="s">
        <v>90</v>
      </c>
      <c r="C37" s="12">
        <v>5000</v>
      </c>
      <c r="D37">
        <v>1</v>
      </c>
      <c r="E37" s="13">
        <f t="shared" si="0"/>
        <v>5000</v>
      </c>
    </row>
    <row r="38" spans="1:10" x14ac:dyDescent="0.3">
      <c r="A38" s="11" t="s">
        <v>32</v>
      </c>
      <c r="B38" t="s">
        <v>95</v>
      </c>
      <c r="C38" s="12">
        <v>300</v>
      </c>
      <c r="D38">
        <v>10</v>
      </c>
      <c r="E38" s="13">
        <f t="shared" si="0"/>
        <v>3000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1900</v>
      </c>
      <c r="D41">
        <v>1</v>
      </c>
      <c r="E41" s="13">
        <f t="shared" si="0"/>
        <v>1900</v>
      </c>
    </row>
    <row r="42" spans="1:10" x14ac:dyDescent="0.3">
      <c r="A42" s="11" t="s">
        <v>8</v>
      </c>
      <c r="B42" t="s">
        <v>46</v>
      </c>
      <c r="C42" s="12">
        <v>350</v>
      </c>
      <c r="D42">
        <v>1</v>
      </c>
      <c r="E42" s="13">
        <f t="shared" si="0"/>
        <v>350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13300</v>
      </c>
      <c r="D52">
        <v>1</v>
      </c>
      <c r="E52" s="13">
        <f t="shared" si="0"/>
        <v>13300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400</v>
      </c>
      <c r="D57">
        <v>1</v>
      </c>
      <c r="E57" s="13">
        <f t="shared" si="0"/>
        <v>400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52" t="s">
        <v>63</v>
      </c>
      <c r="C61" s="12">
        <v>1000</v>
      </c>
      <c r="D61" s="51">
        <v>1</v>
      </c>
      <c r="E61" s="13">
        <f t="shared" si="0"/>
        <v>1000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400</v>
      </c>
      <c r="D64">
        <v>3</v>
      </c>
      <c r="E64" s="13">
        <f t="shared" si="0"/>
        <v>1200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71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500</v>
      </c>
      <c r="D69">
        <v>3</v>
      </c>
      <c r="E69" s="13">
        <f t="shared" si="0"/>
        <v>1500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0"/>
        <v>0</v>
      </c>
      <c r="M72"/>
    </row>
    <row r="73" spans="1:13" x14ac:dyDescent="0.3">
      <c r="A73" s="11" t="s">
        <v>101</v>
      </c>
      <c r="B73" s="14" t="s">
        <v>102</v>
      </c>
      <c r="C73" s="12">
        <v>3000</v>
      </c>
      <c r="D73">
        <v>1</v>
      </c>
      <c r="E73" s="13">
        <f t="shared" si="0"/>
        <v>3000</v>
      </c>
      <c r="M73"/>
    </row>
    <row r="74" spans="1:13" x14ac:dyDescent="0.3">
      <c r="C74" s="12"/>
      <c r="D74"/>
      <c r="E74" s="13">
        <f t="shared" si="0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0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0"/>
        <v>0</v>
      </c>
      <c r="M76"/>
    </row>
    <row r="77" spans="1:13" x14ac:dyDescent="0.3">
      <c r="A77" s="11" t="s">
        <v>8</v>
      </c>
      <c r="B77" s="14" t="s">
        <v>78</v>
      </c>
      <c r="C77" s="12">
        <v>2000</v>
      </c>
      <c r="D77"/>
      <c r="E77" s="13">
        <f t="shared" si="0"/>
        <v>0</v>
      </c>
      <c r="M77"/>
    </row>
    <row r="78" spans="1:13" x14ac:dyDescent="0.3">
      <c r="A78" s="11"/>
      <c r="B78" s="14"/>
      <c r="C78" s="12"/>
      <c r="D78"/>
      <c r="M78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1">D79*C79</f>
        <v>0</v>
      </c>
      <c r="M79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/>
    </row>
    <row r="81" spans="2:13" x14ac:dyDescent="0.3">
      <c r="M81"/>
    </row>
    <row r="82" spans="2:13" x14ac:dyDescent="0.3">
      <c r="B82" t="s">
        <v>80</v>
      </c>
      <c r="E82" s="13">
        <f>SUM(E2:E81)</f>
        <v>65150</v>
      </c>
    </row>
    <row r="83" spans="2:13" x14ac:dyDescent="0.3">
      <c r="M8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6"/>
  <sheetViews>
    <sheetView topLeftCell="A49" zoomScale="99" workbookViewId="0">
      <selection activeCell="B55" sqref="B5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</row>
    <row r="4" spans="1:10" ht="15" thickBot="1" x14ac:dyDescent="0.35">
      <c r="A4" s="26" t="s">
        <v>8</v>
      </c>
      <c r="B4" s="27" t="s">
        <v>9</v>
      </c>
      <c r="C4" s="28">
        <v>700</v>
      </c>
      <c r="D4" s="28">
        <v>1</v>
      </c>
      <c r="E4" s="39">
        <f t="shared" ref="E4:E76" si="0">C4*D4</f>
        <v>700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54" t="s">
        <v>103</v>
      </c>
      <c r="C8" s="55">
        <v>2500</v>
      </c>
      <c r="D8" s="27"/>
      <c r="E8" s="39">
        <f t="shared" si="0"/>
        <v>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600</v>
      </c>
      <c r="D11" s="27">
        <v>8</v>
      </c>
      <c r="E11" s="39">
        <f t="shared" si="0"/>
        <v>4800</v>
      </c>
    </row>
    <row r="12" spans="1:10" ht="15" thickBot="1" x14ac:dyDescent="0.35">
      <c r="A12" s="26" t="s">
        <v>8</v>
      </c>
      <c r="B12" s="27" t="s">
        <v>18</v>
      </c>
      <c r="C12" s="28">
        <v>300</v>
      </c>
      <c r="D12" s="27"/>
      <c r="E12" s="39">
        <f t="shared" si="0"/>
        <v>0</v>
      </c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1500</v>
      </c>
      <c r="D15" s="27">
        <v>2</v>
      </c>
      <c r="E15" s="39">
        <f t="shared" si="0"/>
        <v>3000</v>
      </c>
    </row>
    <row r="16" spans="1:10" ht="15" thickBot="1" x14ac:dyDescent="0.35">
      <c r="A16" s="26" t="s">
        <v>22</v>
      </c>
      <c r="B16" s="27" t="s">
        <v>23</v>
      </c>
      <c r="C16" s="28">
        <v>500</v>
      </c>
      <c r="D16" s="28">
        <v>1</v>
      </c>
      <c r="E16" s="39">
        <f t="shared" si="0"/>
        <v>500</v>
      </c>
    </row>
    <row r="17" spans="1:5" ht="15" thickBot="1" x14ac:dyDescent="0.35">
      <c r="A17" s="26" t="s">
        <v>24</v>
      </c>
      <c r="B17" s="27" t="s">
        <v>25</v>
      </c>
      <c r="C17" s="28">
        <v>400</v>
      </c>
      <c r="D17" s="28">
        <v>6</v>
      </c>
      <c r="E17" s="39">
        <f t="shared" si="0"/>
        <v>2400</v>
      </c>
    </row>
    <row r="18" spans="1:5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5" ht="15" thickBot="1" x14ac:dyDescent="0.35">
      <c r="A19" s="26" t="s">
        <v>28</v>
      </c>
      <c r="B19" s="27" t="s">
        <v>29</v>
      </c>
      <c r="C19" s="28">
        <v>400</v>
      </c>
      <c r="D19" s="28">
        <v>5</v>
      </c>
      <c r="E19" s="39">
        <f t="shared" si="0"/>
        <v>2000</v>
      </c>
    </row>
    <row r="20" spans="1:5" ht="15" thickBot="1" x14ac:dyDescent="0.35">
      <c r="A20" s="26" t="s">
        <v>30</v>
      </c>
      <c r="B20" s="27" t="s">
        <v>31</v>
      </c>
      <c r="C20" s="28">
        <v>500</v>
      </c>
      <c r="D20" s="28">
        <v>7</v>
      </c>
      <c r="E20" s="39">
        <f t="shared" si="0"/>
        <v>3500</v>
      </c>
    </row>
    <row r="21" spans="1:5" ht="15" thickBot="1" x14ac:dyDescent="0.35">
      <c r="A21" s="26" t="s">
        <v>32</v>
      </c>
      <c r="B21" s="27" t="s">
        <v>33</v>
      </c>
      <c r="C21" s="28">
        <v>200</v>
      </c>
      <c r="D21" s="28">
        <v>17</v>
      </c>
      <c r="E21" s="39">
        <f t="shared" si="0"/>
        <v>3400</v>
      </c>
    </row>
    <row r="22" spans="1:5" ht="15" thickBot="1" x14ac:dyDescent="0.35">
      <c r="A22" s="26" t="s">
        <v>34</v>
      </c>
      <c r="B22" s="27" t="s">
        <v>35</v>
      </c>
      <c r="C22" s="28">
        <v>500</v>
      </c>
      <c r="D22" s="28">
        <v>1</v>
      </c>
      <c r="E22" s="39">
        <f t="shared" si="0"/>
        <v>500</v>
      </c>
    </row>
    <row r="23" spans="1:5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5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5" ht="15" thickBot="1" x14ac:dyDescent="0.35">
      <c r="A25" s="26" t="s">
        <v>70</v>
      </c>
      <c r="B25" t="s">
        <v>94</v>
      </c>
      <c r="C25" s="28">
        <v>600</v>
      </c>
      <c r="D25" s="28"/>
      <c r="E25" s="39">
        <f t="shared" si="0"/>
        <v>0</v>
      </c>
    </row>
    <row r="26" spans="1:5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5" ht="15" thickBot="1" x14ac:dyDescent="0.35">
      <c r="A27" s="29"/>
      <c r="B27" s="27"/>
      <c r="C27" s="27"/>
      <c r="D27" s="27"/>
      <c r="E27" s="39">
        <f t="shared" si="0"/>
        <v>0</v>
      </c>
    </row>
    <row r="28" spans="1:5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5" ht="15" thickBot="1" x14ac:dyDescent="0.35">
      <c r="A29" s="26" t="s">
        <v>6</v>
      </c>
      <c r="B29" s="27" t="s">
        <v>37</v>
      </c>
      <c r="C29" s="28">
        <v>100</v>
      </c>
      <c r="D29" s="28">
        <v>170</v>
      </c>
      <c r="E29" s="39">
        <f t="shared" si="0"/>
        <v>17000</v>
      </c>
    </row>
    <row r="30" spans="1:5" ht="15" thickBot="1" x14ac:dyDescent="0.35">
      <c r="A30" s="26" t="s">
        <v>8</v>
      </c>
      <c r="B30" s="27" t="s">
        <v>38</v>
      </c>
      <c r="C30" s="28">
        <v>200</v>
      </c>
      <c r="D30" s="28">
        <v>55</v>
      </c>
      <c r="E30" s="39">
        <f t="shared" si="0"/>
        <v>11000</v>
      </c>
    </row>
    <row r="31" spans="1:5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5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5000</v>
      </c>
      <c r="D33" s="27">
        <v>1</v>
      </c>
      <c r="E33" s="39">
        <f t="shared" si="0"/>
        <v>5000</v>
      </c>
    </row>
    <row r="34" spans="1:10" ht="15" thickBot="1" x14ac:dyDescent="0.35">
      <c r="A34" s="26" t="s">
        <v>22</v>
      </c>
      <c r="B34" s="27" t="s">
        <v>42</v>
      </c>
      <c r="C34" s="28">
        <v>500</v>
      </c>
      <c r="D34" s="27">
        <v>1</v>
      </c>
      <c r="E34" s="39">
        <f t="shared" si="0"/>
        <v>500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1000</v>
      </c>
      <c r="D35" s="28">
        <v>3</v>
      </c>
      <c r="E35" s="39">
        <f t="shared" si="0"/>
        <v>3000</v>
      </c>
    </row>
    <row r="36" spans="1:10" ht="15" thickBot="1" x14ac:dyDescent="0.35">
      <c r="A36" s="42" t="s">
        <v>26</v>
      </c>
      <c r="B36" s="43" t="s">
        <v>43</v>
      </c>
      <c r="C36" s="44">
        <v>2000</v>
      </c>
      <c r="D36" s="45"/>
      <c r="E36" s="39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9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9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>
        <v>300</v>
      </c>
      <c r="D39">
        <v>4</v>
      </c>
      <c r="E39" s="13">
        <f t="shared" ref="E39" si="1">D39*C39</f>
        <v>1200</v>
      </c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700</v>
      </c>
      <c r="D42" s="28">
        <v>1</v>
      </c>
      <c r="E42" s="39">
        <f t="shared" si="0"/>
        <v>700</v>
      </c>
    </row>
    <row r="43" spans="1:10" ht="15" thickBot="1" x14ac:dyDescent="0.35">
      <c r="A43" s="26" t="s">
        <v>8</v>
      </c>
      <c r="B43" s="27" t="s">
        <v>46</v>
      </c>
      <c r="C43" s="28">
        <v>350</v>
      </c>
      <c r="D43" s="28">
        <v>1</v>
      </c>
      <c r="E43" s="39">
        <f t="shared" si="0"/>
        <v>350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11" ht="15" thickBot="1" x14ac:dyDescent="0.35">
      <c r="A49" s="26" t="s">
        <v>6</v>
      </c>
      <c r="B49" s="46" t="s">
        <v>51</v>
      </c>
      <c r="C49" s="28">
        <v>100</v>
      </c>
      <c r="D49" s="28">
        <v>7</v>
      </c>
      <c r="E49" s="39">
        <f t="shared" si="0"/>
        <v>700</v>
      </c>
    </row>
    <row r="50" spans="1:11" ht="15" thickBot="1" x14ac:dyDescent="0.35">
      <c r="A50" s="26" t="s">
        <v>8</v>
      </c>
      <c r="B50" s="27" t="s">
        <v>52</v>
      </c>
      <c r="C50" s="28">
        <v>200</v>
      </c>
      <c r="D50" s="27"/>
      <c r="E50" s="39">
        <f t="shared" si="0"/>
        <v>0</v>
      </c>
    </row>
    <row r="51" spans="1:11" ht="15" thickBot="1" x14ac:dyDescent="0.35">
      <c r="A51" s="29"/>
      <c r="B51" s="27"/>
      <c r="C51" s="27"/>
      <c r="D51" s="27"/>
      <c r="E51" s="39">
        <f t="shared" si="0"/>
        <v>0</v>
      </c>
    </row>
    <row r="52" spans="1:11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11" ht="15" thickBot="1" x14ac:dyDescent="0.35">
      <c r="A53" s="26" t="s">
        <v>6</v>
      </c>
      <c r="B53" s="27" t="s">
        <v>54</v>
      </c>
      <c r="C53" s="30">
        <v>6000</v>
      </c>
      <c r="D53" s="28">
        <v>1</v>
      </c>
      <c r="E53" s="39">
        <f t="shared" si="0"/>
        <v>6000</v>
      </c>
    </row>
    <row r="54" spans="1:11" ht="15" thickBot="1" x14ac:dyDescent="0.35">
      <c r="A54" s="26" t="s">
        <v>8</v>
      </c>
      <c r="B54" s="27" t="s">
        <v>55</v>
      </c>
      <c r="C54" s="28">
        <v>300</v>
      </c>
      <c r="D54" s="27"/>
      <c r="E54" s="39">
        <f t="shared" si="0"/>
        <v>0</v>
      </c>
    </row>
    <row r="55" spans="1:11" ht="15" thickBot="1" x14ac:dyDescent="0.35">
      <c r="A55" s="26" t="s">
        <v>10</v>
      </c>
      <c r="B55" s="27" t="s">
        <v>56</v>
      </c>
      <c r="C55" s="28">
        <v>400</v>
      </c>
      <c r="D55" s="27">
        <v>1</v>
      </c>
      <c r="E55" s="39">
        <f t="shared" si="0"/>
        <v>400</v>
      </c>
    </row>
    <row r="56" spans="1:11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11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11" ht="15" thickBot="1" x14ac:dyDescent="0.35">
      <c r="A58" s="26" t="s">
        <v>22</v>
      </c>
      <c r="B58" s="27" t="s">
        <v>59</v>
      </c>
      <c r="C58" s="28">
        <v>300</v>
      </c>
      <c r="D58" s="27"/>
      <c r="E58" s="39">
        <f t="shared" si="0"/>
        <v>0</v>
      </c>
      <c r="I58" s="56"/>
      <c r="K58" s="56"/>
    </row>
    <row r="59" spans="1:11" ht="15" thickBot="1" x14ac:dyDescent="0.35">
      <c r="A59" s="26" t="s">
        <v>24</v>
      </c>
      <c r="B59" s="27" t="s">
        <v>60</v>
      </c>
      <c r="C59" s="30">
        <v>1500</v>
      </c>
      <c r="D59" s="28">
        <v>4</v>
      </c>
      <c r="E59" s="39">
        <f t="shared" si="0"/>
        <v>6000</v>
      </c>
    </row>
    <row r="60" spans="1:11" ht="15" thickBot="1" x14ac:dyDescent="0.35">
      <c r="A60" s="26" t="s">
        <v>26</v>
      </c>
      <c r="B60" s="27" t="s">
        <v>61</v>
      </c>
      <c r="C60" s="28">
        <v>300</v>
      </c>
      <c r="D60" s="27"/>
      <c r="E60" s="39">
        <f t="shared" si="0"/>
        <v>0</v>
      </c>
    </row>
    <row r="61" spans="1:11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11" ht="15" thickBot="1" x14ac:dyDescent="0.35">
      <c r="A62" s="26" t="s">
        <v>30</v>
      </c>
      <c r="B62" s="27" t="s">
        <v>63</v>
      </c>
      <c r="C62" s="28">
        <f>4500/4</f>
        <v>1125</v>
      </c>
      <c r="D62" s="27">
        <v>4</v>
      </c>
      <c r="E62" s="39">
        <f t="shared" si="0"/>
        <v>4500</v>
      </c>
      <c r="K62" s="56"/>
    </row>
    <row r="63" spans="1:11" ht="15" thickBot="1" x14ac:dyDescent="0.35">
      <c r="A63" s="26" t="s">
        <v>32</v>
      </c>
      <c r="B63" s="27" t="s">
        <v>64</v>
      </c>
      <c r="C63" s="28">
        <v>800</v>
      </c>
      <c r="D63" s="27"/>
      <c r="E63" s="39">
        <f t="shared" si="0"/>
        <v>0</v>
      </c>
    </row>
    <row r="64" spans="1:11" ht="15" thickBot="1" x14ac:dyDescent="0.35">
      <c r="A64" s="26" t="s">
        <v>34</v>
      </c>
      <c r="B64" s="27" t="s">
        <v>65</v>
      </c>
      <c r="C64" s="28">
        <v>300</v>
      </c>
      <c r="D64" s="27"/>
      <c r="E64" s="39">
        <f t="shared" si="0"/>
        <v>0</v>
      </c>
      <c r="K64" s="56"/>
    </row>
    <row r="65" spans="1:13" ht="15" thickBot="1" x14ac:dyDescent="0.35">
      <c r="A65" s="26" t="s">
        <v>66</v>
      </c>
      <c r="B65" s="27" t="s">
        <v>67</v>
      </c>
      <c r="C65" s="28">
        <v>300</v>
      </c>
      <c r="D65" s="27"/>
      <c r="E65" s="39">
        <f t="shared" si="0"/>
        <v>0</v>
      </c>
      <c r="K65" s="56"/>
    </row>
    <row r="66" spans="1:13" ht="15" thickBot="1" x14ac:dyDescent="0.35">
      <c r="A66" s="26" t="s">
        <v>68</v>
      </c>
      <c r="B66" s="27" t="s">
        <v>69</v>
      </c>
      <c r="C66" s="28">
        <v>600</v>
      </c>
      <c r="D66" s="27"/>
      <c r="E66" s="39">
        <f t="shared" si="0"/>
        <v>0</v>
      </c>
      <c r="I66" s="56"/>
      <c r="K66" s="56"/>
    </row>
    <row r="67" spans="1:13" ht="15" thickBot="1" x14ac:dyDescent="0.35">
      <c r="A67" s="26" t="s">
        <v>70</v>
      </c>
      <c r="B67" s="27" t="s">
        <v>71</v>
      </c>
      <c r="C67" s="28">
        <v>1300</v>
      </c>
      <c r="D67" s="27">
        <v>2</v>
      </c>
      <c r="E67" s="39">
        <f t="shared" si="0"/>
        <v>2600</v>
      </c>
      <c r="I67" s="56"/>
      <c r="K67" s="56"/>
    </row>
    <row r="68" spans="1:13" ht="15" thickBot="1" x14ac:dyDescent="0.35">
      <c r="A68" s="26" t="s">
        <v>72</v>
      </c>
      <c r="B68" s="27" t="s">
        <v>73</v>
      </c>
      <c r="C68" s="30">
        <v>1200</v>
      </c>
      <c r="D68" s="27"/>
      <c r="E68" s="39">
        <f t="shared" si="0"/>
        <v>0</v>
      </c>
    </row>
    <row r="69" spans="1:13" ht="15" thickBot="1" x14ac:dyDescent="0.35">
      <c r="A69" s="26" t="s">
        <v>74</v>
      </c>
      <c r="B69" s="27" t="s">
        <v>75</v>
      </c>
      <c r="C69" s="30">
        <v>2000</v>
      </c>
      <c r="D69" s="27"/>
      <c r="E69" s="39">
        <f t="shared" si="0"/>
        <v>0</v>
      </c>
      <c r="K69" s="56"/>
      <c r="M69"/>
    </row>
    <row r="70" spans="1:13" ht="15" thickBot="1" x14ac:dyDescent="0.35">
      <c r="A70" s="11" t="s">
        <v>79</v>
      </c>
      <c r="B70" s="14" t="s">
        <v>84</v>
      </c>
      <c r="C70" s="12">
        <v>400</v>
      </c>
      <c r="D70"/>
      <c r="E70" s="39">
        <f t="shared" si="0"/>
        <v>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9">
        <f t="shared" si="0"/>
        <v>0</v>
      </c>
      <c r="K71" s="56"/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9">
        <f t="shared" si="0"/>
        <v>0</v>
      </c>
      <c r="I72" s="56"/>
      <c r="K72" s="56"/>
      <c r="M72"/>
    </row>
    <row r="73" spans="1:13" ht="15" thickBot="1" x14ac:dyDescent="0.35">
      <c r="A73" s="11" t="s">
        <v>98</v>
      </c>
      <c r="B73" s="14" t="s">
        <v>99</v>
      </c>
      <c r="C73" s="12">
        <v>800</v>
      </c>
      <c r="D73"/>
      <c r="E73" s="39">
        <f t="shared" si="0"/>
        <v>0</v>
      </c>
      <c r="K73" s="56"/>
      <c r="M73"/>
    </row>
    <row r="74" spans="1:13" ht="15" thickBot="1" x14ac:dyDescent="0.35">
      <c r="A74" s="11" t="s">
        <v>101</v>
      </c>
      <c r="B74" s="14" t="s">
        <v>104</v>
      </c>
      <c r="C74" s="12">
        <v>400</v>
      </c>
      <c r="D74">
        <v>1</v>
      </c>
      <c r="E74" s="39">
        <f t="shared" si="0"/>
        <v>400</v>
      </c>
      <c r="K74" s="56"/>
      <c r="M74"/>
    </row>
    <row r="75" spans="1:13" ht="15" thickBot="1" x14ac:dyDescent="0.35">
      <c r="A75" s="27"/>
      <c r="B75" s="27"/>
      <c r="C75" s="27"/>
      <c r="D75" s="27"/>
      <c r="E75" s="39">
        <f t="shared" si="0"/>
        <v>0</v>
      </c>
      <c r="M75"/>
    </row>
    <row r="76" spans="1:13" ht="15" thickBot="1" x14ac:dyDescent="0.35">
      <c r="A76" s="31">
        <v>7</v>
      </c>
      <c r="B76" s="22" t="s">
        <v>76</v>
      </c>
      <c r="C76" s="23"/>
      <c r="D76" s="23"/>
      <c r="E76" s="39">
        <f t="shared" si="0"/>
        <v>0</v>
      </c>
      <c r="I76" s="56"/>
      <c r="K76" s="56"/>
      <c r="M76"/>
    </row>
    <row r="77" spans="1:13" ht="15" thickBot="1" x14ac:dyDescent="0.35">
      <c r="A77" s="26" t="s">
        <v>6</v>
      </c>
      <c r="B77" s="27" t="s">
        <v>77</v>
      </c>
      <c r="C77" s="27"/>
      <c r="D77" s="27"/>
      <c r="E77" s="39">
        <f t="shared" ref="E77:E78" si="2">C77*D77</f>
        <v>0</v>
      </c>
      <c r="I77" s="56"/>
      <c r="K77" s="56"/>
      <c r="M77"/>
    </row>
    <row r="78" spans="1:13" ht="15" thickBot="1" x14ac:dyDescent="0.35">
      <c r="A78" s="26" t="s">
        <v>8</v>
      </c>
      <c r="B78" s="27" t="s">
        <v>78</v>
      </c>
      <c r="C78" s="28">
        <v>2000</v>
      </c>
      <c r="D78" s="27"/>
      <c r="E78" s="39">
        <f t="shared" si="2"/>
        <v>0</v>
      </c>
      <c r="J78" s="56"/>
      <c r="K78" s="56"/>
      <c r="M78"/>
    </row>
    <row r="79" spans="1:13" x14ac:dyDescent="0.3">
      <c r="I79" s="56"/>
      <c r="K79" s="56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3">D80*C80</f>
        <v>0</v>
      </c>
      <c r="K80" s="56"/>
    </row>
    <row r="81" spans="1:11" x14ac:dyDescent="0.3">
      <c r="A81" s="47" t="s">
        <v>6</v>
      </c>
      <c r="B81" s="14" t="s">
        <v>97</v>
      </c>
      <c r="C81">
        <v>100</v>
      </c>
      <c r="E81" s="13">
        <f t="shared" si="3"/>
        <v>0</v>
      </c>
    </row>
    <row r="83" spans="1:11" x14ac:dyDescent="0.3">
      <c r="B83" t="s">
        <v>80</v>
      </c>
      <c r="E83" s="13">
        <f>SUM(E2:E79)</f>
        <v>80150</v>
      </c>
    </row>
    <row r="84" spans="1:11" x14ac:dyDescent="0.3">
      <c r="K84" s="56"/>
    </row>
    <row r="86" spans="1:11" x14ac:dyDescent="0.3">
      <c r="I86" s="56"/>
      <c r="K86" s="5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3"/>
  <sheetViews>
    <sheetView topLeftCell="A40" zoomScaleNormal="100" workbookViewId="0">
      <selection activeCell="D76" sqref="D7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700</v>
      </c>
      <c r="D3">
        <v>1</v>
      </c>
      <c r="E3" s="13">
        <f t="shared" ref="E3:E44" si="0">D3*C3</f>
        <v>700</v>
      </c>
      <c r="J3" s="32"/>
    </row>
    <row r="4" spans="1:10" x14ac:dyDescent="0.3">
      <c r="A4" s="11" t="s">
        <v>8</v>
      </c>
      <c r="B4" t="s">
        <v>9</v>
      </c>
      <c r="C4" s="12">
        <v>700</v>
      </c>
      <c r="D4">
        <v>5</v>
      </c>
      <c r="E4" s="13">
        <f t="shared" si="0"/>
        <v>3500</v>
      </c>
    </row>
    <row r="5" spans="1:10" x14ac:dyDescent="0.3">
      <c r="A5" s="11" t="s">
        <v>10</v>
      </c>
      <c r="B5" t="s">
        <v>11</v>
      </c>
      <c r="C5" s="12">
        <v>800</v>
      </c>
      <c r="D5">
        <v>1</v>
      </c>
      <c r="E5" s="13">
        <f t="shared" si="0"/>
        <v>800</v>
      </c>
    </row>
    <row r="6" spans="1:10" x14ac:dyDescent="0.3">
      <c r="A6" s="11" t="s">
        <v>12</v>
      </c>
      <c r="B6" t="s">
        <v>13</v>
      </c>
      <c r="C6" s="12">
        <v>1000</v>
      </c>
      <c r="D6">
        <v>10</v>
      </c>
      <c r="E6" s="13">
        <f>D6*C6</f>
        <v>10000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900</v>
      </c>
      <c r="D8">
        <v>10</v>
      </c>
      <c r="E8" s="13">
        <f t="shared" si="0"/>
        <v>9000</v>
      </c>
    </row>
    <row r="9" spans="1:10" x14ac:dyDescent="0.3">
      <c r="A9" s="11"/>
      <c r="C9" s="12"/>
      <c r="D9"/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600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500</v>
      </c>
      <c r="D16">
        <v>7</v>
      </c>
      <c r="E16" s="13">
        <f t="shared" si="0"/>
        <v>3500</v>
      </c>
    </row>
    <row r="17" spans="1:10" x14ac:dyDescent="0.3">
      <c r="A17" s="11" t="s">
        <v>24</v>
      </c>
      <c r="B17" t="s">
        <v>25</v>
      </c>
      <c r="C17" s="12">
        <v>400</v>
      </c>
      <c r="D17">
        <v>6</v>
      </c>
      <c r="E17" s="13">
        <f t="shared" si="0"/>
        <v>2400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3</v>
      </c>
      <c r="E19" s="13">
        <f t="shared" si="0"/>
        <v>1200</v>
      </c>
    </row>
    <row r="20" spans="1:10" x14ac:dyDescent="0.3">
      <c r="A20" s="11" t="s">
        <v>30</v>
      </c>
      <c r="B20" t="s">
        <v>31</v>
      </c>
      <c r="C20" s="12">
        <v>500</v>
      </c>
      <c r="D20">
        <v>7</v>
      </c>
      <c r="E20" s="13">
        <f t="shared" si="0"/>
        <v>3500</v>
      </c>
    </row>
    <row r="21" spans="1:10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</row>
    <row r="22" spans="1:10" x14ac:dyDescent="0.3">
      <c r="A22" s="11" t="s">
        <v>34</v>
      </c>
      <c r="B22" t="s">
        <v>35</v>
      </c>
      <c r="C22" s="12">
        <f>5400/11</f>
        <v>490.90909090909093</v>
      </c>
      <c r="D22">
        <v>11</v>
      </c>
      <c r="E22" s="13">
        <f t="shared" si="0"/>
        <v>5400</v>
      </c>
    </row>
    <row r="23" spans="1:10" x14ac:dyDescent="0.3">
      <c r="A23" s="11" t="s">
        <v>66</v>
      </c>
      <c r="B23" t="s">
        <v>91</v>
      </c>
      <c r="C23" s="12">
        <v>300</v>
      </c>
      <c r="D23">
        <v>2</v>
      </c>
      <c r="E23" s="13">
        <f t="shared" si="0"/>
        <v>600</v>
      </c>
    </row>
    <row r="24" spans="1:10" x14ac:dyDescent="0.3">
      <c r="A24" s="11" t="s">
        <v>68</v>
      </c>
      <c r="B24" t="s">
        <v>92</v>
      </c>
      <c r="C24" s="12">
        <v>400</v>
      </c>
      <c r="D24"/>
    </row>
    <row r="25" spans="1:10" x14ac:dyDescent="0.3">
      <c r="A25" s="11" t="s">
        <v>70</v>
      </c>
      <c r="B25" t="s">
        <v>94</v>
      </c>
      <c r="C25" s="12">
        <v>500</v>
      </c>
      <c r="D25"/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193</v>
      </c>
      <c r="E29" s="13">
        <f t="shared" si="0"/>
        <v>19300</v>
      </c>
    </row>
    <row r="30" spans="1:10" x14ac:dyDescent="0.3">
      <c r="A30" s="11" t="s">
        <v>8</v>
      </c>
      <c r="B30" t="s">
        <v>38</v>
      </c>
      <c r="C30" s="12">
        <v>200</v>
      </c>
      <c r="D30">
        <v>65</v>
      </c>
      <c r="E30" s="13">
        <f t="shared" si="0"/>
        <v>13000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/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>
        <v>1</v>
      </c>
      <c r="E34" s="13">
        <f t="shared" si="0"/>
        <v>500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v>300</v>
      </c>
      <c r="D39">
        <v>2</v>
      </c>
      <c r="E39" s="13">
        <f t="shared" si="0"/>
        <v>600</v>
      </c>
    </row>
    <row r="40" spans="1:10" x14ac:dyDescent="0.3">
      <c r="A40" s="11" t="s">
        <v>34</v>
      </c>
      <c r="B40" t="s">
        <v>100</v>
      </c>
      <c r="C40" s="12">
        <v>300</v>
      </c>
      <c r="D40">
        <v>2</v>
      </c>
      <c r="E40" s="13">
        <f t="shared" si="0"/>
        <v>600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2</v>
      </c>
      <c r="E43" s="13">
        <f t="shared" si="0"/>
        <v>1400</v>
      </c>
    </row>
    <row r="44" spans="1:10" x14ac:dyDescent="0.3">
      <c r="A44" s="11" t="s">
        <v>8</v>
      </c>
      <c r="B44" t="s">
        <v>46</v>
      </c>
      <c r="C44" s="12">
        <v>700</v>
      </c>
      <c r="D44">
        <v>2</v>
      </c>
      <c r="E44" s="13">
        <f t="shared" si="0"/>
        <v>1400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200</v>
      </c>
      <c r="D50">
        <v>1</v>
      </c>
      <c r="E50" s="13">
        <f t="shared" si="1"/>
        <v>200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8800</v>
      </c>
      <c r="D54">
        <v>1</v>
      </c>
      <c r="E54" s="13">
        <f t="shared" si="1"/>
        <v>8800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1500</v>
      </c>
      <c r="D60">
        <v>5</v>
      </c>
      <c r="E60" s="13">
        <f t="shared" si="1"/>
        <v>7500</v>
      </c>
    </row>
    <row r="61" spans="1:5" x14ac:dyDescent="0.3">
      <c r="A61" s="11" t="s">
        <v>26</v>
      </c>
      <c r="B61" s="14" t="s">
        <v>61</v>
      </c>
      <c r="C61" s="12">
        <v>400</v>
      </c>
      <c r="D61">
        <v>1</v>
      </c>
      <c r="E61" s="13">
        <f t="shared" si="1"/>
        <v>400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13" x14ac:dyDescent="0.3">
      <c r="A67" s="11" t="s">
        <v>68</v>
      </c>
      <c r="B67" s="14" t="s">
        <v>69</v>
      </c>
      <c r="C67" s="12">
        <v>900</v>
      </c>
      <c r="D67">
        <v>2</v>
      </c>
      <c r="E67" s="13">
        <f t="shared" si="1"/>
        <v>1800</v>
      </c>
    </row>
    <row r="68" spans="1:13" x14ac:dyDescent="0.3">
      <c r="A68" s="11" t="s">
        <v>70</v>
      </c>
      <c r="B68" s="14" t="s">
        <v>71</v>
      </c>
      <c r="C68" s="12">
        <v>1300</v>
      </c>
      <c r="D68">
        <v>3</v>
      </c>
      <c r="E68" s="13">
        <f t="shared" si="1"/>
        <v>3900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  <c r="M71"/>
    </row>
    <row r="72" spans="1:13" x14ac:dyDescent="0.3">
      <c r="A72" s="11" t="s">
        <v>85</v>
      </c>
      <c r="B72" s="14" t="s">
        <v>86</v>
      </c>
      <c r="C72" s="12">
        <v>500</v>
      </c>
      <c r="D72">
        <v>1</v>
      </c>
      <c r="E72" s="13">
        <f t="shared" si="1"/>
        <v>500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  <c r="M74"/>
    </row>
    <row r="75" spans="1:13" x14ac:dyDescent="0.3">
      <c r="C75" s="12"/>
      <c r="D75"/>
      <c r="E75" s="13">
        <f t="shared" si="1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13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13" x14ac:dyDescent="0.3">
      <c r="B83" t="s">
        <v>80</v>
      </c>
      <c r="E83" s="13">
        <f>SUM(E2:E79)</f>
        <v>101900</v>
      </c>
      <c r="M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2"/>
  <sheetViews>
    <sheetView tabSelected="1" topLeftCell="A35" zoomScale="89" workbookViewId="0">
      <selection activeCell="F54" sqref="F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700</v>
      </c>
      <c r="D4">
        <v>1</v>
      </c>
      <c r="E4" s="13">
        <f t="shared" si="0"/>
        <v>700</v>
      </c>
    </row>
    <row r="5" spans="1:10" x14ac:dyDescent="0.3">
      <c r="A5" s="11" t="s">
        <v>10</v>
      </c>
      <c r="B5" t="s">
        <v>11</v>
      </c>
      <c r="C5" s="12">
        <v>900</v>
      </c>
      <c r="D5">
        <v>2</v>
      </c>
      <c r="E5" s="13">
        <f t="shared" si="0"/>
        <v>1800</v>
      </c>
    </row>
    <row r="6" spans="1:10" x14ac:dyDescent="0.3">
      <c r="A6" s="11" t="s">
        <v>12</v>
      </c>
      <c r="B6" t="s">
        <v>13</v>
      </c>
      <c r="C6" s="12">
        <v>1000</v>
      </c>
      <c r="D6">
        <v>8</v>
      </c>
      <c r="E6" s="13">
        <f>D6*C6</f>
        <v>8000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1000</v>
      </c>
      <c r="D8">
        <v>3</v>
      </c>
      <c r="E8" s="13">
        <f>D8*C8</f>
        <v>3000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600</v>
      </c>
      <c r="D11">
        <v>1</v>
      </c>
      <c r="E11" s="13">
        <f>D11*C11</f>
        <v>600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500</v>
      </c>
      <c r="D20">
        <v>1</v>
      </c>
      <c r="E20" s="13">
        <f t="shared" si="0"/>
        <v>500</v>
      </c>
    </row>
    <row r="21" spans="1:10" x14ac:dyDescent="0.3">
      <c r="A21" s="11" t="s">
        <v>32</v>
      </c>
      <c r="B21" t="s">
        <v>33</v>
      </c>
      <c r="C21" s="12">
        <v>200</v>
      </c>
      <c r="D21">
        <v>6</v>
      </c>
      <c r="E21" s="13">
        <f t="shared" si="0"/>
        <v>1200</v>
      </c>
    </row>
    <row r="22" spans="1:10" x14ac:dyDescent="0.3">
      <c r="A22" s="11" t="s">
        <v>34</v>
      </c>
      <c r="B22" t="s">
        <v>35</v>
      </c>
      <c r="C22" s="12">
        <v>500</v>
      </c>
      <c r="D22">
        <v>4</v>
      </c>
      <c r="E22" s="13">
        <f t="shared" si="0"/>
        <v>2000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600</v>
      </c>
      <c r="D25">
        <v>2</v>
      </c>
      <c r="E25" s="13">
        <f t="shared" si="0"/>
        <v>1200</v>
      </c>
    </row>
    <row r="26" spans="1:10" x14ac:dyDescent="0.3">
      <c r="A26" s="11" t="s">
        <v>72</v>
      </c>
      <c r="B26" t="s">
        <v>93</v>
      </c>
      <c r="C26" s="12">
        <v>400</v>
      </c>
      <c r="D26"/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107</v>
      </c>
      <c r="E29" s="13">
        <f t="shared" si="0"/>
        <v>10700</v>
      </c>
    </row>
    <row r="30" spans="1:10" x14ac:dyDescent="0.3">
      <c r="A30" s="11" t="s">
        <v>8</v>
      </c>
      <c r="B30" t="s">
        <v>38</v>
      </c>
      <c r="C30" s="12">
        <v>200</v>
      </c>
      <c r="D30">
        <v>126</v>
      </c>
      <c r="E30" s="13">
        <f t="shared" si="0"/>
        <v>25200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2</v>
      </c>
      <c r="E42" s="13">
        <f t="shared" si="0"/>
        <v>1400</v>
      </c>
    </row>
    <row r="43" spans="1:10" x14ac:dyDescent="0.3">
      <c r="A43" s="11" t="s">
        <v>8</v>
      </c>
      <c r="B43" t="s">
        <v>46</v>
      </c>
      <c r="C43" s="12">
        <f>1100/2</f>
        <v>550</v>
      </c>
      <c r="D43">
        <v>2</v>
      </c>
      <c r="E43" s="13">
        <f t="shared" si="0"/>
        <v>1100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15900</v>
      </c>
      <c r="D53">
        <v>1</v>
      </c>
      <c r="E53" s="13">
        <f t="shared" si="1"/>
        <v>15900</v>
      </c>
    </row>
    <row r="54" spans="1:5" x14ac:dyDescent="0.3">
      <c r="A54" s="11" t="s">
        <v>8</v>
      </c>
      <c r="B54" s="14" t="s">
        <v>55</v>
      </c>
      <c r="C54" s="12">
        <v>500</v>
      </c>
      <c r="D54">
        <v>1</v>
      </c>
      <c r="E54" s="13">
        <f t="shared" si="1"/>
        <v>500</v>
      </c>
    </row>
    <row r="55" spans="1:5" x14ac:dyDescent="0.3">
      <c r="A55" s="11" t="s">
        <v>10</v>
      </c>
      <c r="B55" s="14" t="s">
        <v>56</v>
      </c>
      <c r="C55" s="12">
        <v>400</v>
      </c>
      <c r="D55">
        <v>8</v>
      </c>
      <c r="E55" s="13">
        <f t="shared" si="1"/>
        <v>3200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6</v>
      </c>
      <c r="E62" s="13">
        <f t="shared" si="1"/>
        <v>4800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900</v>
      </c>
      <c r="D66">
        <v>3</v>
      </c>
      <c r="E66" s="13">
        <f t="shared" si="1"/>
        <v>2700</v>
      </c>
    </row>
    <row r="67" spans="1:5" x14ac:dyDescent="0.3">
      <c r="A67" s="11" t="s">
        <v>70</v>
      </c>
      <c r="B67" s="14" t="s">
        <v>71</v>
      </c>
      <c r="C67" s="12">
        <v>1300</v>
      </c>
      <c r="D67">
        <v>6</v>
      </c>
      <c r="E67" s="13">
        <f t="shared" si="1"/>
        <v>7800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500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500</v>
      </c>
      <c r="D71">
        <v>1</v>
      </c>
      <c r="E71" s="13">
        <f t="shared" si="1"/>
        <v>500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2" spans="2:5" x14ac:dyDescent="0.3">
      <c r="B82" t="s">
        <v>80</v>
      </c>
      <c r="E82" s="13">
        <f>SUM(E2:E78)</f>
        <v>92800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2"/>
  <sheetViews>
    <sheetView topLeftCell="A31" workbookViewId="0">
      <selection activeCell="D49" sqref="D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900</v>
      </c>
      <c r="D5">
        <v>2</v>
      </c>
      <c r="E5" s="13">
        <f t="shared" si="0"/>
        <v>1800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600</v>
      </c>
      <c r="D10">
        <v>1</v>
      </c>
      <c r="E10" s="13">
        <f>D10*C10</f>
        <v>600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4</v>
      </c>
      <c r="E14" s="13">
        <f t="shared" si="0"/>
        <v>6000</v>
      </c>
    </row>
    <row r="15" spans="1:10" x14ac:dyDescent="0.3">
      <c r="A15" s="11" t="s">
        <v>22</v>
      </c>
      <c r="B15" t="s">
        <v>23</v>
      </c>
      <c r="C15" s="12">
        <v>500</v>
      </c>
      <c r="D15">
        <v>1</v>
      </c>
      <c r="E15" s="13">
        <f t="shared" si="0"/>
        <v>500</v>
      </c>
    </row>
    <row r="16" spans="1:10" x14ac:dyDescent="0.3">
      <c r="A16" s="11" t="s">
        <v>24</v>
      </c>
      <c r="B16" t="s">
        <v>25</v>
      </c>
      <c r="C16" s="12">
        <v>400</v>
      </c>
      <c r="D16">
        <v>6</v>
      </c>
      <c r="E16" s="13">
        <f t="shared" si="0"/>
        <v>2400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1</v>
      </c>
      <c r="E18" s="13">
        <f t="shared" si="0"/>
        <v>400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200</v>
      </c>
      <c r="D20">
        <v>4</v>
      </c>
      <c r="E20" s="13">
        <f t="shared" si="0"/>
        <v>800</v>
      </c>
    </row>
    <row r="21" spans="1:5" x14ac:dyDescent="0.3">
      <c r="A21" s="11" t="s">
        <v>34</v>
      </c>
      <c r="B21" t="s">
        <v>35</v>
      </c>
      <c r="C21" s="12">
        <v>500</v>
      </c>
      <c r="D21">
        <v>2</v>
      </c>
      <c r="E21" s="13">
        <f t="shared" si="0"/>
        <v>1000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4</v>
      </c>
      <c r="E24" s="13">
        <f t="shared" si="0"/>
        <v>2400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96</v>
      </c>
      <c r="E28" s="13">
        <f t="shared" si="0"/>
        <v>9600</v>
      </c>
    </row>
    <row r="29" spans="1:5" x14ac:dyDescent="0.3">
      <c r="A29" s="11" t="s">
        <v>8</v>
      </c>
      <c r="B29" t="s">
        <v>38</v>
      </c>
      <c r="C29" s="12">
        <v>200</v>
      </c>
      <c r="D29">
        <f>17950/200</f>
        <v>89.75</v>
      </c>
      <c r="E29" s="13">
        <f t="shared" si="0"/>
        <v>17950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>
        <v>1</v>
      </c>
      <c r="E33" s="13">
        <f t="shared" si="0"/>
        <v>500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>
        <v>2</v>
      </c>
      <c r="E41" s="13">
        <f t="shared" si="0"/>
        <v>1400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7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>
        <v>3</v>
      </c>
      <c r="E48" s="13">
        <f t="shared" si="1"/>
        <v>300</v>
      </c>
    </row>
    <row r="49" spans="1:5" x14ac:dyDescent="0.3">
      <c r="A49" s="11" t="s">
        <v>8</v>
      </c>
      <c r="B49" t="s">
        <v>52</v>
      </c>
      <c r="C49" s="12">
        <v>200</v>
      </c>
      <c r="D49">
        <v>3</v>
      </c>
      <c r="E49" s="13">
        <f t="shared" si="1"/>
        <v>600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9500</v>
      </c>
      <c r="D52">
        <v>1</v>
      </c>
      <c r="E52" s="13">
        <f t="shared" si="1"/>
        <v>9500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</row>
    <row r="73" spans="1:5" x14ac:dyDescent="0.3">
      <c r="A73" s="11" t="s">
        <v>101</v>
      </c>
      <c r="B73" s="14" t="s">
        <v>104</v>
      </c>
      <c r="C73" s="12">
        <v>400</v>
      </c>
      <c r="D73">
        <v>1</v>
      </c>
      <c r="E73" s="13">
        <f t="shared" si="1"/>
        <v>400</v>
      </c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2" spans="2:5" x14ac:dyDescent="0.3">
      <c r="B82" t="s">
        <v>80</v>
      </c>
      <c r="E82" s="13">
        <f>SUM(E2:E81)</f>
        <v>56150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3"/>
  <sheetViews>
    <sheetView topLeftCell="A34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700</v>
      </c>
      <c r="D4">
        <v>1</v>
      </c>
      <c r="E4" s="13">
        <f t="shared" si="0"/>
        <v>700</v>
      </c>
    </row>
    <row r="5" spans="1:10" x14ac:dyDescent="0.3">
      <c r="A5" s="11" t="s">
        <v>10</v>
      </c>
      <c r="B5" t="s">
        <v>11</v>
      </c>
      <c r="C5" s="12">
        <v>800</v>
      </c>
      <c r="D5">
        <v>3</v>
      </c>
      <c r="E5" s="13">
        <f t="shared" si="0"/>
        <v>2400</v>
      </c>
    </row>
    <row r="6" spans="1:10" x14ac:dyDescent="0.3">
      <c r="A6" s="11" t="s">
        <v>12</v>
      </c>
      <c r="B6" t="s">
        <v>13</v>
      </c>
      <c r="C6" s="12">
        <v>1000</v>
      </c>
      <c r="D6">
        <v>3</v>
      </c>
      <c r="E6" s="13">
        <f>D6*C6</f>
        <v>3000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1000</v>
      </c>
      <c r="D8">
        <v>2</v>
      </c>
      <c r="E8" s="13">
        <f>D8*C8</f>
        <v>2000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600</v>
      </c>
      <c r="D11">
        <v>1</v>
      </c>
      <c r="E11" s="13">
        <f>D11*C11</f>
        <v>600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</row>
    <row r="16" spans="1:10" x14ac:dyDescent="0.3">
      <c r="A16" s="11" t="s">
        <v>22</v>
      </c>
      <c r="B16" t="s">
        <v>23</v>
      </c>
      <c r="C16" s="12">
        <f>2800/6</f>
        <v>466.66666666666669</v>
      </c>
      <c r="D16">
        <v>6</v>
      </c>
      <c r="E16" s="13">
        <f t="shared" si="0"/>
        <v>2800</v>
      </c>
    </row>
    <row r="17" spans="1:10" x14ac:dyDescent="0.3">
      <c r="A17" s="11" t="s">
        <v>24</v>
      </c>
      <c r="B17" t="s">
        <v>25</v>
      </c>
      <c r="C17" s="12">
        <v>400</v>
      </c>
      <c r="D17">
        <v>1</v>
      </c>
      <c r="E17" s="13">
        <f t="shared" si="0"/>
        <v>400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2</v>
      </c>
      <c r="E19" s="13">
        <f t="shared" si="0"/>
        <v>800</v>
      </c>
    </row>
    <row r="20" spans="1:10" x14ac:dyDescent="0.3">
      <c r="A20" s="11" t="s">
        <v>30</v>
      </c>
      <c r="B20" t="s">
        <v>31</v>
      </c>
      <c r="C20" s="12">
        <v>500</v>
      </c>
      <c r="D20">
        <v>2</v>
      </c>
      <c r="E20" s="13">
        <f t="shared" si="0"/>
        <v>1000</v>
      </c>
    </row>
    <row r="21" spans="1:10" x14ac:dyDescent="0.3">
      <c r="A21" s="11" t="s">
        <v>32</v>
      </c>
      <c r="B21" t="s">
        <v>33</v>
      </c>
      <c r="C21" s="12">
        <v>200</v>
      </c>
      <c r="D21">
        <v>8</v>
      </c>
      <c r="E21" s="13">
        <f t="shared" si="0"/>
        <v>1600</v>
      </c>
    </row>
    <row r="22" spans="1:10" x14ac:dyDescent="0.3">
      <c r="A22" s="11" t="s">
        <v>34</v>
      </c>
      <c r="B22" t="s">
        <v>35</v>
      </c>
      <c r="C22" s="12">
        <v>500</v>
      </c>
      <c r="D22">
        <v>3</v>
      </c>
      <c r="E22" s="13">
        <f t="shared" si="0"/>
        <v>1500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600</v>
      </c>
      <c r="D25">
        <v>5</v>
      </c>
      <c r="E25" s="13">
        <f t="shared" si="0"/>
        <v>3000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105</v>
      </c>
      <c r="C27" s="12">
        <f>4400/3</f>
        <v>1466.6666666666667</v>
      </c>
      <c r="D27">
        <v>3</v>
      </c>
      <c r="E27" s="13">
        <f t="shared" si="0"/>
        <v>4400</v>
      </c>
    </row>
    <row r="28" spans="1:10" x14ac:dyDescent="0.3">
      <c r="A28" s="11"/>
      <c r="C28" s="12"/>
      <c r="D28"/>
      <c r="E28" s="13">
        <f t="shared" si="0"/>
        <v>0</v>
      </c>
    </row>
    <row r="29" spans="1:10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10" x14ac:dyDescent="0.3">
      <c r="A30" s="11" t="s">
        <v>6</v>
      </c>
      <c r="B30" t="s">
        <v>37</v>
      </c>
      <c r="C30" s="12">
        <v>100</v>
      </c>
      <c r="D30">
        <v>137</v>
      </c>
      <c r="E30" s="13">
        <f t="shared" si="0"/>
        <v>13700</v>
      </c>
    </row>
    <row r="31" spans="1:10" x14ac:dyDescent="0.3">
      <c r="A31" s="11" t="s">
        <v>8</v>
      </c>
      <c r="B31" t="s">
        <v>38</v>
      </c>
      <c r="C31" s="12">
        <v>200</v>
      </c>
      <c r="D31">
        <v>67.5</v>
      </c>
      <c r="E31" s="13">
        <f t="shared" si="0"/>
        <v>13500</v>
      </c>
    </row>
    <row r="32" spans="1:10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>
        <v>1</v>
      </c>
      <c r="E35" s="13">
        <f t="shared" si="0"/>
        <v>500</v>
      </c>
      <c r="J35" s="25"/>
    </row>
    <row r="36" spans="1:10" x14ac:dyDescent="0.3">
      <c r="A36" s="11" t="s">
        <v>24</v>
      </c>
      <c r="B36" t="s">
        <v>83</v>
      </c>
      <c r="C36" s="12">
        <v>3100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3000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1100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3</v>
      </c>
      <c r="E50" s="13">
        <f t="shared" si="1"/>
        <v>300</v>
      </c>
    </row>
    <row r="51" spans="1:5" x14ac:dyDescent="0.3">
      <c r="A51" s="11" t="s">
        <v>8</v>
      </c>
      <c r="B51" t="s">
        <v>52</v>
      </c>
      <c r="C51" s="12">
        <v>200</v>
      </c>
      <c r="D51">
        <v>2</v>
      </c>
      <c r="E51" s="13">
        <f t="shared" si="1"/>
        <v>400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7400</v>
      </c>
      <c r="D54">
        <v>1</v>
      </c>
      <c r="E54" s="13">
        <f t="shared" si="1"/>
        <v>7400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1500</v>
      </c>
      <c r="D60">
        <v>3</v>
      </c>
      <c r="E60" s="13">
        <f t="shared" si="1"/>
        <v>4500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800</v>
      </c>
      <c r="D63">
        <v>1</v>
      </c>
      <c r="E63" s="13">
        <f t="shared" si="1"/>
        <v>800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1000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68300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3"/>
  <sheetViews>
    <sheetView topLeftCell="A37" workbookViewId="0">
      <selection activeCell="F53" sqref="F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700</v>
      </c>
      <c r="D3">
        <v>1</v>
      </c>
      <c r="E3" s="13">
        <f t="shared" ref="E3:E43" si="0">D3*C3</f>
        <v>700</v>
      </c>
      <c r="J3" s="32"/>
      <c r="M3" s="33"/>
    </row>
    <row r="4" spans="1:13" x14ac:dyDescent="0.3">
      <c r="A4" s="11" t="s">
        <v>8</v>
      </c>
      <c r="B4" t="s">
        <v>9</v>
      </c>
      <c r="C4" s="12">
        <v>700</v>
      </c>
      <c r="D4">
        <v>2</v>
      </c>
      <c r="E4" s="13">
        <f t="shared" si="0"/>
        <v>1400</v>
      </c>
      <c r="M4" s="33"/>
    </row>
    <row r="5" spans="1:13" x14ac:dyDescent="0.3">
      <c r="A5" s="11" t="s">
        <v>10</v>
      </c>
      <c r="B5" t="s">
        <v>11</v>
      </c>
      <c r="C5" s="12">
        <v>900</v>
      </c>
      <c r="D5">
        <v>2</v>
      </c>
      <c r="E5" s="13">
        <f t="shared" si="0"/>
        <v>1800</v>
      </c>
      <c r="M5" s="33"/>
    </row>
    <row r="6" spans="1:13" x14ac:dyDescent="0.3">
      <c r="A6" s="11" t="s">
        <v>12</v>
      </c>
      <c r="B6" t="s">
        <v>13</v>
      </c>
      <c r="C6" s="12">
        <v>1000</v>
      </c>
      <c r="D6">
        <v>1</v>
      </c>
      <c r="E6" s="13">
        <f>D6*C6</f>
        <v>1000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 t="s">
        <v>22</v>
      </c>
      <c r="B8" t="s">
        <v>103</v>
      </c>
      <c r="C8" s="12">
        <v>1200</v>
      </c>
      <c r="D8">
        <v>2</v>
      </c>
      <c r="E8" s="13">
        <f>D8*C8</f>
        <v>2400</v>
      </c>
      <c r="M8" s="33"/>
    </row>
    <row r="9" spans="1:13" x14ac:dyDescent="0.3">
      <c r="A9" s="11"/>
      <c r="C9" s="12"/>
      <c r="D9"/>
      <c r="E9" s="13">
        <f t="shared" si="0"/>
        <v>0</v>
      </c>
      <c r="M9" s="33"/>
    </row>
    <row r="10" spans="1:13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 s="33"/>
    </row>
    <row r="11" spans="1:13" x14ac:dyDescent="0.3">
      <c r="A11" s="11" t="s">
        <v>6</v>
      </c>
      <c r="B11" t="s">
        <v>17</v>
      </c>
      <c r="C11" s="50">
        <f>1900/3</f>
        <v>633.33333333333337</v>
      </c>
      <c r="D11">
        <v>3</v>
      </c>
      <c r="E11" s="13">
        <f>D11*C11</f>
        <v>1900</v>
      </c>
      <c r="M11" s="33"/>
    </row>
    <row r="12" spans="1:13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  <c r="M12" s="33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 s="3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 s="33"/>
    </row>
    <row r="15" spans="1:13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  <c r="M15" s="33"/>
    </row>
    <row r="16" spans="1:13" x14ac:dyDescent="0.3">
      <c r="A16" s="11" t="s">
        <v>22</v>
      </c>
      <c r="B16" t="s">
        <v>23</v>
      </c>
      <c r="C16" s="12">
        <v>500</v>
      </c>
      <c r="D16">
        <v>2</v>
      </c>
      <c r="E16" s="13">
        <f t="shared" si="0"/>
        <v>1000</v>
      </c>
      <c r="M16" s="33"/>
    </row>
    <row r="17" spans="1:13" x14ac:dyDescent="0.3">
      <c r="A17" s="11" t="s">
        <v>24</v>
      </c>
      <c r="B17" t="s">
        <v>25</v>
      </c>
      <c r="C17" s="12">
        <v>400</v>
      </c>
      <c r="D17">
        <v>3</v>
      </c>
      <c r="E17" s="13">
        <f t="shared" si="0"/>
        <v>1200</v>
      </c>
      <c r="J17" s="32"/>
      <c r="M17" s="33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 s="33"/>
    </row>
    <row r="19" spans="1:13" x14ac:dyDescent="0.3">
      <c r="A19" s="11" t="s">
        <v>28</v>
      </c>
      <c r="B19" t="s">
        <v>29</v>
      </c>
      <c r="C19" s="12">
        <f>1550/4</f>
        <v>387.5</v>
      </c>
      <c r="D19">
        <v>4</v>
      </c>
      <c r="E19" s="13">
        <f t="shared" si="0"/>
        <v>1550</v>
      </c>
      <c r="M19" s="33"/>
    </row>
    <row r="20" spans="1:13" x14ac:dyDescent="0.3">
      <c r="A20" s="11" t="s">
        <v>30</v>
      </c>
      <c r="B20" t="s">
        <v>31</v>
      </c>
      <c r="C20" s="12">
        <v>500</v>
      </c>
      <c r="D20">
        <v>1</v>
      </c>
      <c r="E20" s="13">
        <f t="shared" si="0"/>
        <v>500</v>
      </c>
      <c r="M20" s="33"/>
    </row>
    <row r="21" spans="1:13" x14ac:dyDescent="0.3">
      <c r="A21" s="11" t="s">
        <v>32</v>
      </c>
      <c r="B21" t="s">
        <v>33</v>
      </c>
      <c r="C21" s="12">
        <v>200</v>
      </c>
      <c r="D21">
        <v>8</v>
      </c>
      <c r="E21" s="13">
        <f t="shared" si="0"/>
        <v>1600</v>
      </c>
      <c r="M21" s="33"/>
    </row>
    <row r="22" spans="1:13" x14ac:dyDescent="0.3">
      <c r="A22" s="11" t="s">
        <v>34</v>
      </c>
      <c r="B22" t="s">
        <v>35</v>
      </c>
      <c r="C22" s="12">
        <v>500</v>
      </c>
      <c r="D22">
        <v>3</v>
      </c>
      <c r="E22" s="13">
        <f t="shared" si="0"/>
        <v>1500</v>
      </c>
      <c r="M22" s="33"/>
    </row>
    <row r="23" spans="1:13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  <c r="M24" s="33"/>
    </row>
    <row r="25" spans="1:13" x14ac:dyDescent="0.3">
      <c r="A25" s="11" t="s">
        <v>70</v>
      </c>
      <c r="B25" t="s">
        <v>94</v>
      </c>
      <c r="C25" s="12">
        <v>700</v>
      </c>
      <c r="D25">
        <v>1</v>
      </c>
      <c r="E25" s="13">
        <f t="shared" si="0"/>
        <v>700</v>
      </c>
      <c r="M25" s="33"/>
    </row>
    <row r="26" spans="1:13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>
        <v>90</v>
      </c>
      <c r="E29" s="13">
        <f t="shared" si="0"/>
        <v>9000</v>
      </c>
      <c r="M29" s="33"/>
    </row>
    <row r="30" spans="1:13" x14ac:dyDescent="0.3">
      <c r="A30" s="11" t="s">
        <v>8</v>
      </c>
      <c r="B30" t="s">
        <v>38</v>
      </c>
      <c r="C30" s="12">
        <f>7250/36</f>
        <v>201.38888888888889</v>
      </c>
      <c r="D30">
        <v>36</v>
      </c>
      <c r="E30" s="13">
        <f t="shared" si="0"/>
        <v>7250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>
        <v>1</v>
      </c>
      <c r="E34" s="13">
        <f t="shared" si="0"/>
        <v>500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500</v>
      </c>
      <c r="D42">
        <v>2</v>
      </c>
      <c r="E42" s="13">
        <f t="shared" si="0"/>
        <v>1000</v>
      </c>
      <c r="M42" s="33"/>
    </row>
    <row r="43" spans="1:13" x14ac:dyDescent="0.3">
      <c r="A43" s="11" t="s">
        <v>8</v>
      </c>
      <c r="B43" t="s">
        <v>46</v>
      </c>
      <c r="C43" s="12">
        <v>1050</v>
      </c>
      <c r="D43">
        <v>1</v>
      </c>
      <c r="E43" s="13">
        <f t="shared" si="0"/>
        <v>1050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1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>
        <v>5</v>
      </c>
      <c r="E49" s="13">
        <f t="shared" si="1"/>
        <v>500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>
        <v>3.5</v>
      </c>
      <c r="E50" s="13">
        <f t="shared" si="1"/>
        <v>700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9000</v>
      </c>
      <c r="D53">
        <v>1</v>
      </c>
      <c r="E53" s="13">
        <f t="shared" si="1"/>
        <v>9000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22</v>
      </c>
      <c r="B58" s="14" t="s">
        <v>59</v>
      </c>
      <c r="C58" s="12">
        <v>400</v>
      </c>
      <c r="D58">
        <v>1</v>
      </c>
      <c r="E58" s="13">
        <f t="shared" si="1"/>
        <v>400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400</v>
      </c>
      <c r="D60">
        <v>2</v>
      </c>
      <c r="E60" s="13">
        <f t="shared" si="1"/>
        <v>800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400</v>
      </c>
      <c r="D65">
        <v>2</v>
      </c>
      <c r="E65" s="13">
        <f t="shared" si="1"/>
        <v>800</v>
      </c>
      <c r="M65" s="33"/>
    </row>
    <row r="66" spans="1:13" x14ac:dyDescent="0.3">
      <c r="A66" s="11" t="s">
        <v>68</v>
      </c>
      <c r="B66" s="14" t="s">
        <v>69</v>
      </c>
      <c r="C66" s="12">
        <v>900</v>
      </c>
      <c r="D66">
        <v>1</v>
      </c>
      <c r="E66" s="13">
        <f t="shared" si="1"/>
        <v>900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>
        <v>1000</v>
      </c>
      <c r="D76">
        <v>1</v>
      </c>
      <c r="E76" s="13">
        <f t="shared" si="1"/>
        <v>1000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2:13" x14ac:dyDescent="0.3">
      <c r="E81" s="13">
        <f t="shared" si="1"/>
        <v>0</v>
      </c>
      <c r="M81" s="33"/>
    </row>
    <row r="82" spans="2:13" x14ac:dyDescent="0.3">
      <c r="M82" s="33"/>
    </row>
    <row r="83" spans="2:13" x14ac:dyDescent="0.3">
      <c r="B83" t="s">
        <v>80</v>
      </c>
      <c r="E83" s="13">
        <f>SUM(E2:E80)</f>
        <v>50150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Sales-1</vt:lpstr>
      <vt:lpstr>Sales-2</vt:lpstr>
      <vt:lpstr>Sales-3</vt:lpstr>
      <vt:lpstr>Sales-4</vt:lpstr>
      <vt:lpstr>Sales-5</vt:lpstr>
      <vt:lpstr>Sales-6</vt:lpstr>
      <vt:lpstr>Sales-7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2024-05-08T19:42:59Z</dcterms:modified>
</cp:coreProperties>
</file>
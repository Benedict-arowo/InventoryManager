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5CCECE69-2A5C-4E26-8754-73053CDAF6BE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Sales-15" sheetId="1" r:id="rId2"/>
    <sheet name="Sales-16" sheetId="2" r:id="rId3"/>
    <sheet name="Sales-17" sheetId="3" r:id="rId4"/>
    <sheet name="Sales-18" sheetId="4" r:id="rId5"/>
    <sheet name="Sales-19" sheetId="5" r:id="rId6"/>
    <sheet name="Sales-20" sheetId="6" r:id="rId7"/>
    <sheet name="Sales-21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" i="2" l="1"/>
  <c r="C70" i="7"/>
  <c r="C6" i="7"/>
  <c r="E25" i="7"/>
  <c r="I25" i="8" s="1"/>
  <c r="E24" i="7"/>
  <c r="I24" i="8" s="1"/>
  <c r="E23" i="7"/>
  <c r="I23" i="8" s="1"/>
  <c r="E22" i="7"/>
  <c r="I22" i="8" s="1"/>
  <c r="E21" i="7"/>
  <c r="E26" i="7"/>
  <c r="C16" i="6"/>
  <c r="E26" i="6"/>
  <c r="E27" i="5"/>
  <c r="E25" i="5"/>
  <c r="G25" i="8" s="1"/>
  <c r="E26" i="5"/>
  <c r="D31" i="5"/>
  <c r="E25" i="4"/>
  <c r="F25" i="8" s="1"/>
  <c r="E26" i="4"/>
  <c r="E23" i="3"/>
  <c r="E23" i="8" s="1"/>
  <c r="E22" i="3"/>
  <c r="E22" i="8" s="1"/>
  <c r="E24" i="3"/>
  <c r="E24" i="8" s="1"/>
  <c r="E25" i="3"/>
  <c r="E25" i="8" s="1"/>
  <c r="E26" i="3"/>
  <c r="E26" i="2"/>
  <c r="D39" i="2"/>
  <c r="E39" i="2" s="1"/>
  <c r="D38" i="8" s="1"/>
  <c r="D42" i="2"/>
  <c r="E27" i="1"/>
  <c r="E26" i="1"/>
  <c r="J80" i="8"/>
  <c r="J81" i="8"/>
  <c r="J82" i="8"/>
  <c r="I72" i="8"/>
  <c r="I77" i="8"/>
  <c r="H72" i="8"/>
  <c r="H77" i="8"/>
  <c r="H79" i="8"/>
  <c r="G72" i="8"/>
  <c r="G77" i="8"/>
  <c r="F72" i="8"/>
  <c r="F77" i="8"/>
  <c r="E77" i="8"/>
  <c r="D72" i="8"/>
  <c r="D77" i="8"/>
  <c r="C72" i="8"/>
  <c r="C77" i="8"/>
  <c r="E73" i="3"/>
  <c r="E72" i="8" s="1"/>
  <c r="E73" i="2"/>
  <c r="C44" i="1"/>
  <c r="E80" i="6"/>
  <c r="E79" i="6"/>
  <c r="H78" i="8" s="1"/>
  <c r="E81" i="5"/>
  <c r="G79" i="8" s="1"/>
  <c r="E80" i="5"/>
  <c r="G78" i="8" s="1"/>
  <c r="E80" i="4"/>
  <c r="F79" i="8" s="1"/>
  <c r="E79" i="4"/>
  <c r="F78" i="8" s="1"/>
  <c r="E80" i="3"/>
  <c r="E79" i="8" s="1"/>
  <c r="E79" i="3"/>
  <c r="E78" i="8" s="1"/>
  <c r="E80" i="2"/>
  <c r="D79" i="8" s="1"/>
  <c r="E79" i="2"/>
  <c r="D78" i="8" s="1"/>
  <c r="E81" i="1"/>
  <c r="C79" i="8" s="1"/>
  <c r="E80" i="1"/>
  <c r="C78" i="8" s="1"/>
  <c r="E40" i="1"/>
  <c r="C38" i="8" s="1"/>
  <c r="E39" i="3"/>
  <c r="E38" i="8" s="1"/>
  <c r="E39" i="4"/>
  <c r="F38" i="8" s="1"/>
  <c r="E40" i="5"/>
  <c r="G38" i="8" s="1"/>
  <c r="E39" i="6"/>
  <c r="H38" i="8" s="1"/>
  <c r="E81" i="7"/>
  <c r="E80" i="7"/>
  <c r="I79" i="8" s="1"/>
  <c r="E78" i="7"/>
  <c r="E79" i="7"/>
  <c r="I78" i="8" s="1"/>
  <c r="E39" i="7"/>
  <c r="I38" i="8" s="1"/>
  <c r="E22" i="6"/>
  <c r="H22" i="8" s="1"/>
  <c r="E23" i="6"/>
  <c r="H23" i="8" s="1"/>
  <c r="E24" i="6"/>
  <c r="H24" i="8" s="1"/>
  <c r="E25" i="6"/>
  <c r="H25" i="8" s="1"/>
  <c r="E27" i="6"/>
  <c r="H26" i="8" s="1"/>
  <c r="E23" i="5"/>
  <c r="G23" i="8" s="1"/>
  <c r="E25" i="2"/>
  <c r="D25" i="8" s="1"/>
  <c r="E24" i="2"/>
  <c r="D24" i="8" s="1"/>
  <c r="E23" i="2"/>
  <c r="D23" i="8" s="1"/>
  <c r="E23" i="1"/>
  <c r="C23" i="8" s="1"/>
  <c r="E24" i="1"/>
  <c r="C24" i="8" s="1"/>
  <c r="E25" i="1"/>
  <c r="C25" i="8" s="1"/>
  <c r="E28" i="1"/>
  <c r="C26" i="8" s="1"/>
  <c r="E24" i="5"/>
  <c r="G24" i="8" s="1"/>
  <c r="E24" i="4"/>
  <c r="F24" i="8" s="1"/>
  <c r="E22" i="2"/>
  <c r="D22" i="8" s="1"/>
  <c r="E22" i="5"/>
  <c r="G22" i="8" s="1"/>
  <c r="E23" i="4"/>
  <c r="F23" i="8" s="1"/>
  <c r="E22" i="4"/>
  <c r="F22" i="8" s="1"/>
  <c r="E37" i="1"/>
  <c r="C35" i="8" s="1"/>
  <c r="E22" i="1"/>
  <c r="C22" i="8" s="1"/>
  <c r="E36" i="2"/>
  <c r="D35" i="8" s="1"/>
  <c r="J77" i="8" l="1"/>
  <c r="J72" i="8"/>
  <c r="J23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7" i="2"/>
  <c r="D26" i="8" s="1"/>
  <c r="E28" i="2"/>
  <c r="D27" i="8" s="1"/>
  <c r="E29" i="2"/>
  <c r="D28" i="8" s="1"/>
  <c r="E30" i="2"/>
  <c r="D29" i="8" s="1"/>
  <c r="E31" i="2"/>
  <c r="D30" i="8" s="1"/>
  <c r="E32" i="2"/>
  <c r="D31" i="8" s="1"/>
  <c r="E33" i="2"/>
  <c r="D32" i="8" s="1"/>
  <c r="E34" i="2"/>
  <c r="D33" i="8" s="1"/>
  <c r="E35" i="2"/>
  <c r="D34" i="8" s="1"/>
  <c r="E37" i="2"/>
  <c r="D36" i="8" s="1"/>
  <c r="E38" i="2"/>
  <c r="D37" i="8" s="1"/>
  <c r="E40" i="2"/>
  <c r="D39" i="8" s="1"/>
  <c r="E41" i="2"/>
  <c r="D40" i="8" s="1"/>
  <c r="E42" i="2"/>
  <c r="D41" i="8" s="1"/>
  <c r="E43" i="2"/>
  <c r="D42" i="8" s="1"/>
  <c r="E44" i="2"/>
  <c r="D43" i="8" s="1"/>
  <c r="E45" i="2"/>
  <c r="D44" i="8" s="1"/>
  <c r="E46" i="2"/>
  <c r="D45" i="8" s="1"/>
  <c r="E47" i="2"/>
  <c r="D46" i="8" s="1"/>
  <c r="E48" i="2"/>
  <c r="D47" i="8" s="1"/>
  <c r="E49" i="2"/>
  <c r="D48" i="8" s="1"/>
  <c r="E50" i="2"/>
  <c r="D49" i="8" s="1"/>
  <c r="E51" i="2"/>
  <c r="D50" i="8" s="1"/>
  <c r="E52" i="2"/>
  <c r="D51" i="8" s="1"/>
  <c r="E53" i="2"/>
  <c r="D52" i="8" s="1"/>
  <c r="E54" i="2"/>
  <c r="D53" i="8" s="1"/>
  <c r="E55" i="2"/>
  <c r="D54" i="8" s="1"/>
  <c r="E56" i="2"/>
  <c r="D55" i="8" s="1"/>
  <c r="E57" i="2"/>
  <c r="D56" i="8" s="1"/>
  <c r="E58" i="2"/>
  <c r="D57" i="8" s="1"/>
  <c r="E59" i="2"/>
  <c r="D58" i="8" s="1"/>
  <c r="E60" i="2"/>
  <c r="D59" i="8" s="1"/>
  <c r="E61" i="2"/>
  <c r="D60" i="8" s="1"/>
  <c r="E62" i="2"/>
  <c r="D61" i="8" s="1"/>
  <c r="E63" i="2"/>
  <c r="D62" i="8" s="1"/>
  <c r="E64" i="2"/>
  <c r="D63" i="8" s="1"/>
  <c r="E65" i="2"/>
  <c r="D64" i="8" s="1"/>
  <c r="E66" i="2"/>
  <c r="D65" i="8" s="1"/>
  <c r="E67" i="2"/>
  <c r="D66" i="8" s="1"/>
  <c r="E68" i="2"/>
  <c r="D67" i="8" s="1"/>
  <c r="E69" i="2"/>
  <c r="D68" i="8" s="1"/>
  <c r="E70" i="2"/>
  <c r="D69" i="8" s="1"/>
  <c r="E71" i="2"/>
  <c r="D70" i="8" s="1"/>
  <c r="E72" i="2"/>
  <c r="D71" i="8" s="1"/>
  <c r="E74" i="2"/>
  <c r="D73" i="8" s="1"/>
  <c r="E75" i="2"/>
  <c r="D74" i="8" s="1"/>
  <c r="E76" i="2"/>
  <c r="D75" i="8" s="1"/>
  <c r="E77" i="2"/>
  <c r="D76" i="8" s="1"/>
  <c r="E3" i="2"/>
  <c r="E38" i="6"/>
  <c r="H37" i="8" s="1"/>
  <c r="E37" i="6"/>
  <c r="H36" i="8" s="1"/>
  <c r="E39" i="5"/>
  <c r="G37" i="8" s="1"/>
  <c r="E38" i="5"/>
  <c r="G36" i="8" s="1"/>
  <c r="E38" i="4"/>
  <c r="F37" i="8" s="1"/>
  <c r="E37" i="4"/>
  <c r="F36" i="8" s="1"/>
  <c r="E38" i="3"/>
  <c r="E37" i="8" s="1"/>
  <c r="E37" i="3"/>
  <c r="E36" i="8" s="1"/>
  <c r="E38" i="1"/>
  <c r="C36" i="8" s="1"/>
  <c r="E39" i="1"/>
  <c r="C37" i="8" s="1"/>
  <c r="E73" i="1"/>
  <c r="C71" i="8" s="1"/>
  <c r="E72" i="1"/>
  <c r="C70" i="8" s="1"/>
  <c r="E71" i="1"/>
  <c r="C69" i="8" s="1"/>
  <c r="E72" i="3"/>
  <c r="E71" i="8" s="1"/>
  <c r="E71" i="3"/>
  <c r="E70" i="8" s="1"/>
  <c r="D3" i="8" l="1"/>
  <c r="D83" i="8" s="1"/>
  <c r="E77" i="7" l="1"/>
  <c r="I76" i="8" s="1"/>
  <c r="E76" i="7"/>
  <c r="I75" i="8" s="1"/>
  <c r="E75" i="7"/>
  <c r="I74" i="8" s="1"/>
  <c r="E74" i="7"/>
  <c r="I73" i="8" s="1"/>
  <c r="E72" i="7"/>
  <c r="I71" i="8" s="1"/>
  <c r="E71" i="7"/>
  <c r="I70" i="8" s="1"/>
  <c r="E70" i="7"/>
  <c r="I69" i="8" s="1"/>
  <c r="E69" i="7"/>
  <c r="I68" i="8" s="1"/>
  <c r="E68" i="7"/>
  <c r="I67" i="8" s="1"/>
  <c r="E67" i="7"/>
  <c r="I66" i="8" s="1"/>
  <c r="E66" i="7"/>
  <c r="I65" i="8" s="1"/>
  <c r="E65" i="7"/>
  <c r="I64" i="8" s="1"/>
  <c r="E64" i="7"/>
  <c r="I63" i="8" s="1"/>
  <c r="E63" i="7"/>
  <c r="I62" i="8" s="1"/>
  <c r="E62" i="7"/>
  <c r="I61" i="8" s="1"/>
  <c r="E61" i="7"/>
  <c r="I60" i="8" s="1"/>
  <c r="E60" i="7"/>
  <c r="I59" i="8" s="1"/>
  <c r="E59" i="7"/>
  <c r="I58" i="8" s="1"/>
  <c r="E58" i="7"/>
  <c r="I57" i="8" s="1"/>
  <c r="E57" i="7"/>
  <c r="I56" i="8" s="1"/>
  <c r="E56" i="7"/>
  <c r="I55" i="8" s="1"/>
  <c r="E55" i="7"/>
  <c r="I54" i="8" s="1"/>
  <c r="E54" i="7"/>
  <c r="I53" i="8" s="1"/>
  <c r="E53" i="7"/>
  <c r="I52" i="8" s="1"/>
  <c r="E52" i="7"/>
  <c r="I51" i="8" s="1"/>
  <c r="E51" i="7"/>
  <c r="I50" i="8" s="1"/>
  <c r="E50" i="7"/>
  <c r="I49" i="8" s="1"/>
  <c r="E49" i="7"/>
  <c r="I48" i="8" s="1"/>
  <c r="E48" i="7"/>
  <c r="I47" i="8" s="1"/>
  <c r="E47" i="7"/>
  <c r="I46" i="8" s="1"/>
  <c r="E46" i="7"/>
  <c r="I45" i="8" s="1"/>
  <c r="E45" i="7"/>
  <c r="I44" i="8" s="1"/>
  <c r="E44" i="7"/>
  <c r="I43" i="8" s="1"/>
  <c r="E43" i="7"/>
  <c r="I42" i="8" s="1"/>
  <c r="E42" i="7"/>
  <c r="I41" i="8" s="1"/>
  <c r="E41" i="7"/>
  <c r="I40" i="8" s="1"/>
  <c r="E40" i="7"/>
  <c r="I39" i="8" s="1"/>
  <c r="E38" i="7"/>
  <c r="I37" i="8" s="1"/>
  <c r="J37" i="8" s="1"/>
  <c r="E37" i="7"/>
  <c r="I36" i="8" s="1"/>
  <c r="J36" i="8" s="1"/>
  <c r="E36" i="7"/>
  <c r="I35" i="8" s="1"/>
  <c r="E35" i="7"/>
  <c r="I34" i="8" s="1"/>
  <c r="E34" i="7"/>
  <c r="I33" i="8" s="1"/>
  <c r="E33" i="7"/>
  <c r="I32" i="8" s="1"/>
  <c r="E32" i="7"/>
  <c r="I31" i="8" s="1"/>
  <c r="E31" i="7"/>
  <c r="I30" i="8" s="1"/>
  <c r="E30" i="7"/>
  <c r="I29" i="8" s="1"/>
  <c r="E29" i="7"/>
  <c r="I28" i="8" s="1"/>
  <c r="E28" i="7"/>
  <c r="I27" i="8" s="1"/>
  <c r="E27" i="7"/>
  <c r="I26" i="8" s="1"/>
  <c r="I21" i="8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83" i="8" l="1"/>
  <c r="E83" i="7"/>
  <c r="E77" i="6"/>
  <c r="H76" i="8" s="1"/>
  <c r="E76" i="6"/>
  <c r="H75" i="8" s="1"/>
  <c r="E75" i="6"/>
  <c r="H74" i="8" s="1"/>
  <c r="E74" i="6"/>
  <c r="H73" i="8" s="1"/>
  <c r="E72" i="6"/>
  <c r="H71" i="8" s="1"/>
  <c r="E71" i="6"/>
  <c r="H70" i="8" s="1"/>
  <c r="E70" i="6"/>
  <c r="H69" i="8" s="1"/>
  <c r="E69" i="6"/>
  <c r="H68" i="8" s="1"/>
  <c r="E68" i="6"/>
  <c r="H67" i="8" s="1"/>
  <c r="E67" i="6"/>
  <c r="H66" i="8" s="1"/>
  <c r="E66" i="6"/>
  <c r="H65" i="8" s="1"/>
  <c r="E65" i="6"/>
  <c r="H64" i="8" s="1"/>
  <c r="E64" i="6"/>
  <c r="H63" i="8" s="1"/>
  <c r="E63" i="6"/>
  <c r="H62" i="8" s="1"/>
  <c r="E62" i="6"/>
  <c r="H61" i="8" s="1"/>
  <c r="E61" i="6"/>
  <c r="H60" i="8" s="1"/>
  <c r="E60" i="6"/>
  <c r="H59" i="8" s="1"/>
  <c r="E59" i="6"/>
  <c r="H58" i="8" s="1"/>
  <c r="E58" i="6"/>
  <c r="H57" i="8" s="1"/>
  <c r="E57" i="6"/>
  <c r="H56" i="8" s="1"/>
  <c r="E56" i="6"/>
  <c r="H55" i="8" s="1"/>
  <c r="E55" i="6"/>
  <c r="H54" i="8" s="1"/>
  <c r="E54" i="6"/>
  <c r="H53" i="8" s="1"/>
  <c r="E53" i="6"/>
  <c r="H52" i="8" s="1"/>
  <c r="E52" i="6"/>
  <c r="H51" i="8" s="1"/>
  <c r="E51" i="6"/>
  <c r="H50" i="8" s="1"/>
  <c r="E50" i="6"/>
  <c r="H49" i="8" s="1"/>
  <c r="E49" i="6"/>
  <c r="H48" i="8" s="1"/>
  <c r="E48" i="6"/>
  <c r="H47" i="8" s="1"/>
  <c r="E47" i="6"/>
  <c r="H46" i="8" s="1"/>
  <c r="E46" i="6"/>
  <c r="H45" i="8" s="1"/>
  <c r="E45" i="6"/>
  <c r="H44" i="8" s="1"/>
  <c r="E44" i="6"/>
  <c r="H43" i="8" s="1"/>
  <c r="E43" i="6"/>
  <c r="H42" i="8" s="1"/>
  <c r="E42" i="6"/>
  <c r="H41" i="8" s="1"/>
  <c r="E41" i="6"/>
  <c r="H40" i="8" s="1"/>
  <c r="E40" i="6"/>
  <c r="H39" i="8" s="1"/>
  <c r="E36" i="6"/>
  <c r="H35" i="8" s="1"/>
  <c r="E35" i="6"/>
  <c r="H34" i="8" s="1"/>
  <c r="E34" i="6"/>
  <c r="H33" i="8" s="1"/>
  <c r="E33" i="6"/>
  <c r="H32" i="8" s="1"/>
  <c r="E32" i="6"/>
  <c r="H31" i="8" s="1"/>
  <c r="E31" i="6"/>
  <c r="H30" i="8" s="1"/>
  <c r="E30" i="6"/>
  <c r="H29" i="8" s="1"/>
  <c r="E29" i="6"/>
  <c r="H28" i="8" s="1"/>
  <c r="E28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2" i="6"/>
  <c r="E78" i="1"/>
  <c r="C76" i="8" s="1"/>
  <c r="E77" i="1"/>
  <c r="C75" i="8" s="1"/>
  <c r="E76" i="1"/>
  <c r="C74" i="8" s="1"/>
  <c r="E75" i="1"/>
  <c r="C73" i="8" s="1"/>
  <c r="E70" i="1"/>
  <c r="C68" i="8" s="1"/>
  <c r="E69" i="1"/>
  <c r="C67" i="8" s="1"/>
  <c r="E68" i="1"/>
  <c r="C66" i="8" s="1"/>
  <c r="E67" i="1"/>
  <c r="C65" i="8" s="1"/>
  <c r="E66" i="1"/>
  <c r="C64" i="8" s="1"/>
  <c r="E65" i="1"/>
  <c r="C63" i="8" s="1"/>
  <c r="E64" i="1"/>
  <c r="C62" i="8" s="1"/>
  <c r="E63" i="1"/>
  <c r="C61" i="8" s="1"/>
  <c r="E62" i="1"/>
  <c r="C60" i="8" s="1"/>
  <c r="E61" i="1"/>
  <c r="C59" i="8" s="1"/>
  <c r="E60" i="1"/>
  <c r="C58" i="8" s="1"/>
  <c r="E59" i="1"/>
  <c r="C57" i="8" s="1"/>
  <c r="E58" i="1"/>
  <c r="C56" i="8" s="1"/>
  <c r="E57" i="1"/>
  <c r="C55" i="8" s="1"/>
  <c r="E56" i="1"/>
  <c r="C54" i="8" s="1"/>
  <c r="E55" i="1"/>
  <c r="C53" i="8" s="1"/>
  <c r="E54" i="1"/>
  <c r="C52" i="8" s="1"/>
  <c r="E53" i="1"/>
  <c r="C51" i="8" s="1"/>
  <c r="E52" i="1"/>
  <c r="C50" i="8" s="1"/>
  <c r="E51" i="1"/>
  <c r="C49" i="8" s="1"/>
  <c r="E50" i="1"/>
  <c r="C48" i="8" s="1"/>
  <c r="E49" i="1"/>
  <c r="C47" i="8" s="1"/>
  <c r="E48" i="1"/>
  <c r="C46" i="8" s="1"/>
  <c r="E47" i="1"/>
  <c r="C45" i="8" s="1"/>
  <c r="E46" i="1"/>
  <c r="C44" i="8" s="1"/>
  <c r="E45" i="1"/>
  <c r="C43" i="8" s="1"/>
  <c r="E44" i="1"/>
  <c r="C42" i="8" s="1"/>
  <c r="E43" i="1"/>
  <c r="C41" i="8" s="1"/>
  <c r="E42" i="1"/>
  <c r="C40" i="8" s="1"/>
  <c r="E41" i="1"/>
  <c r="C39" i="8" s="1"/>
  <c r="E36" i="1"/>
  <c r="C34" i="8" s="1"/>
  <c r="E35" i="1"/>
  <c r="C33" i="8" s="1"/>
  <c r="E34" i="1"/>
  <c r="C32" i="8" s="1"/>
  <c r="E33" i="1"/>
  <c r="C31" i="8" s="1"/>
  <c r="E32" i="1"/>
  <c r="C30" i="8" s="1"/>
  <c r="E31" i="1"/>
  <c r="C29" i="8" s="1"/>
  <c r="E30" i="1"/>
  <c r="C28" i="8" s="1"/>
  <c r="E29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3" i="1"/>
  <c r="E78" i="5"/>
  <c r="G76" i="8" s="1"/>
  <c r="E77" i="5"/>
  <c r="G75" i="8" s="1"/>
  <c r="E76" i="5"/>
  <c r="G74" i="8" s="1"/>
  <c r="E75" i="5"/>
  <c r="G73" i="8" s="1"/>
  <c r="E73" i="5"/>
  <c r="G71" i="8" s="1"/>
  <c r="E72" i="5"/>
  <c r="G70" i="8" s="1"/>
  <c r="E71" i="5"/>
  <c r="G69" i="8" s="1"/>
  <c r="E70" i="5"/>
  <c r="G68" i="8" s="1"/>
  <c r="E69" i="5"/>
  <c r="G67" i="8" s="1"/>
  <c r="E68" i="5"/>
  <c r="G66" i="8" s="1"/>
  <c r="E67" i="5"/>
  <c r="G65" i="8" s="1"/>
  <c r="E66" i="5"/>
  <c r="G64" i="8" s="1"/>
  <c r="E65" i="5"/>
  <c r="G63" i="8" s="1"/>
  <c r="E64" i="5"/>
  <c r="G62" i="8" s="1"/>
  <c r="E63" i="5"/>
  <c r="G61" i="8" s="1"/>
  <c r="E62" i="5"/>
  <c r="G60" i="8" s="1"/>
  <c r="E61" i="5"/>
  <c r="G59" i="8" s="1"/>
  <c r="E60" i="5"/>
  <c r="G58" i="8" s="1"/>
  <c r="E59" i="5"/>
  <c r="G57" i="8" s="1"/>
  <c r="E58" i="5"/>
  <c r="G56" i="8" s="1"/>
  <c r="E57" i="5"/>
  <c r="G55" i="8" s="1"/>
  <c r="E56" i="5"/>
  <c r="G54" i="8" s="1"/>
  <c r="E55" i="5"/>
  <c r="G53" i="8" s="1"/>
  <c r="E54" i="5"/>
  <c r="G52" i="8" s="1"/>
  <c r="E53" i="5"/>
  <c r="G51" i="8" s="1"/>
  <c r="E52" i="5"/>
  <c r="G50" i="8" s="1"/>
  <c r="E51" i="5"/>
  <c r="G49" i="8" s="1"/>
  <c r="E50" i="5"/>
  <c r="G48" i="8" s="1"/>
  <c r="E49" i="5"/>
  <c r="G47" i="8" s="1"/>
  <c r="E48" i="5"/>
  <c r="G46" i="8" s="1"/>
  <c r="E47" i="5"/>
  <c r="G45" i="8" s="1"/>
  <c r="E46" i="5"/>
  <c r="G44" i="8" s="1"/>
  <c r="E45" i="5"/>
  <c r="G43" i="8" s="1"/>
  <c r="E44" i="5"/>
  <c r="G42" i="8" s="1"/>
  <c r="E43" i="5"/>
  <c r="G41" i="8" s="1"/>
  <c r="E42" i="5"/>
  <c r="G40" i="8" s="1"/>
  <c r="E41" i="5"/>
  <c r="G39" i="8" s="1"/>
  <c r="E37" i="5"/>
  <c r="G35" i="8" s="1"/>
  <c r="E36" i="5"/>
  <c r="G34" i="8" s="1"/>
  <c r="E35" i="5"/>
  <c r="G33" i="8" s="1"/>
  <c r="E34" i="5"/>
  <c r="G32" i="8" s="1"/>
  <c r="E33" i="5"/>
  <c r="G31" i="8" s="1"/>
  <c r="E32" i="5"/>
  <c r="G30" i="8" s="1"/>
  <c r="E31" i="5"/>
  <c r="G29" i="8" s="1"/>
  <c r="E30" i="5"/>
  <c r="G28" i="8" s="1"/>
  <c r="E29" i="5"/>
  <c r="G27" i="8" s="1"/>
  <c r="E28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3" i="5"/>
  <c r="E77" i="4"/>
  <c r="F76" i="8" s="1"/>
  <c r="E76" i="4"/>
  <c r="F75" i="8" s="1"/>
  <c r="E75" i="4"/>
  <c r="F74" i="8" s="1"/>
  <c r="E74" i="4"/>
  <c r="F73" i="8" s="1"/>
  <c r="E72" i="4"/>
  <c r="F71" i="8" s="1"/>
  <c r="J71" i="8" s="1"/>
  <c r="E71" i="4"/>
  <c r="F70" i="8" s="1"/>
  <c r="J70" i="8" s="1"/>
  <c r="E70" i="4"/>
  <c r="F69" i="8" s="1"/>
  <c r="E69" i="4"/>
  <c r="F68" i="8" s="1"/>
  <c r="E68" i="4"/>
  <c r="F67" i="8" s="1"/>
  <c r="E67" i="4"/>
  <c r="F66" i="8" s="1"/>
  <c r="E66" i="4"/>
  <c r="F65" i="8" s="1"/>
  <c r="E65" i="4"/>
  <c r="F64" i="8" s="1"/>
  <c r="E64" i="4"/>
  <c r="F63" i="8" s="1"/>
  <c r="E63" i="4"/>
  <c r="F62" i="8" s="1"/>
  <c r="E62" i="4"/>
  <c r="F61" i="8" s="1"/>
  <c r="E61" i="4"/>
  <c r="F60" i="8" s="1"/>
  <c r="E60" i="4"/>
  <c r="F59" i="8" s="1"/>
  <c r="E59" i="4"/>
  <c r="F58" i="8" s="1"/>
  <c r="E58" i="4"/>
  <c r="F57" i="8" s="1"/>
  <c r="E57" i="4"/>
  <c r="F56" i="8" s="1"/>
  <c r="E56" i="4"/>
  <c r="F55" i="8" s="1"/>
  <c r="E55" i="4"/>
  <c r="F54" i="8" s="1"/>
  <c r="E54" i="4"/>
  <c r="F53" i="8" s="1"/>
  <c r="E53" i="4"/>
  <c r="F52" i="8" s="1"/>
  <c r="E52" i="4"/>
  <c r="F51" i="8" s="1"/>
  <c r="E51" i="4"/>
  <c r="F50" i="8" s="1"/>
  <c r="E50" i="4"/>
  <c r="F49" i="8" s="1"/>
  <c r="E49" i="4"/>
  <c r="F48" i="8" s="1"/>
  <c r="E48" i="4"/>
  <c r="F47" i="8" s="1"/>
  <c r="E47" i="4"/>
  <c r="F46" i="8" s="1"/>
  <c r="E46" i="4"/>
  <c r="F45" i="8" s="1"/>
  <c r="E45" i="4"/>
  <c r="F44" i="8" s="1"/>
  <c r="E44" i="4"/>
  <c r="F43" i="8" s="1"/>
  <c r="E43" i="4"/>
  <c r="F42" i="8" s="1"/>
  <c r="E42" i="4"/>
  <c r="F41" i="8" s="1"/>
  <c r="E41" i="4"/>
  <c r="F40" i="8" s="1"/>
  <c r="E40" i="4"/>
  <c r="F39" i="8" s="1"/>
  <c r="E36" i="4"/>
  <c r="F35" i="8" s="1"/>
  <c r="E35" i="4"/>
  <c r="F34" i="8" s="1"/>
  <c r="E34" i="4"/>
  <c r="F33" i="8" s="1"/>
  <c r="E33" i="4"/>
  <c r="F32" i="8" s="1"/>
  <c r="E32" i="4"/>
  <c r="F31" i="8" s="1"/>
  <c r="E31" i="4"/>
  <c r="F30" i="8" s="1"/>
  <c r="E30" i="4"/>
  <c r="F29" i="8" s="1"/>
  <c r="E29" i="4"/>
  <c r="F28" i="8" s="1"/>
  <c r="E28" i="4"/>
  <c r="F27" i="8" s="1"/>
  <c r="E27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2" i="4" l="1"/>
  <c r="E77" i="3"/>
  <c r="E76" i="8" s="1"/>
  <c r="J76" i="8" s="1"/>
  <c r="E76" i="3"/>
  <c r="E75" i="8" s="1"/>
  <c r="J75" i="8" s="1"/>
  <c r="E75" i="3"/>
  <c r="E74" i="8" s="1"/>
  <c r="J74" i="8" s="1"/>
  <c r="E74" i="3"/>
  <c r="E73" i="8" s="1"/>
  <c r="J73" i="8" s="1"/>
  <c r="E70" i="3"/>
  <c r="E69" i="8" s="1"/>
  <c r="J69" i="8" s="1"/>
  <c r="E69" i="3"/>
  <c r="E68" i="8" s="1"/>
  <c r="J68" i="8" s="1"/>
  <c r="E68" i="3"/>
  <c r="E67" i="8" s="1"/>
  <c r="J67" i="8" s="1"/>
  <c r="E67" i="3"/>
  <c r="E66" i="8" s="1"/>
  <c r="J66" i="8" s="1"/>
  <c r="E66" i="3"/>
  <c r="E65" i="8" s="1"/>
  <c r="J65" i="8" s="1"/>
  <c r="E65" i="3"/>
  <c r="E64" i="8" s="1"/>
  <c r="J64" i="8" s="1"/>
  <c r="E64" i="3"/>
  <c r="E63" i="8" s="1"/>
  <c r="J63" i="8" s="1"/>
  <c r="E63" i="3"/>
  <c r="E62" i="8" s="1"/>
  <c r="J62" i="8" s="1"/>
  <c r="E62" i="3"/>
  <c r="E61" i="8" s="1"/>
  <c r="J61" i="8" s="1"/>
  <c r="E61" i="3"/>
  <c r="E60" i="8" s="1"/>
  <c r="J60" i="8" s="1"/>
  <c r="E60" i="3"/>
  <c r="E59" i="8" s="1"/>
  <c r="J59" i="8" s="1"/>
  <c r="E59" i="3"/>
  <c r="E58" i="8" s="1"/>
  <c r="J58" i="8" s="1"/>
  <c r="E58" i="3"/>
  <c r="E57" i="8" s="1"/>
  <c r="J57" i="8" s="1"/>
  <c r="E57" i="3"/>
  <c r="E56" i="8" s="1"/>
  <c r="J56" i="8" s="1"/>
  <c r="E56" i="3"/>
  <c r="E55" i="8" s="1"/>
  <c r="J55" i="8" s="1"/>
  <c r="E55" i="3"/>
  <c r="E54" i="8" s="1"/>
  <c r="J54" i="8" s="1"/>
  <c r="E54" i="3"/>
  <c r="E53" i="8" s="1"/>
  <c r="J53" i="8" s="1"/>
  <c r="E53" i="3"/>
  <c r="E52" i="8" s="1"/>
  <c r="J52" i="8" s="1"/>
  <c r="E52" i="3"/>
  <c r="E51" i="8" s="1"/>
  <c r="J51" i="8" s="1"/>
  <c r="E51" i="3"/>
  <c r="E50" i="8" s="1"/>
  <c r="J50" i="8" s="1"/>
  <c r="E50" i="3"/>
  <c r="E49" i="8" s="1"/>
  <c r="J49" i="8" s="1"/>
  <c r="E49" i="3"/>
  <c r="E48" i="8" s="1"/>
  <c r="J48" i="8" s="1"/>
  <c r="E48" i="3"/>
  <c r="E47" i="8" s="1"/>
  <c r="J47" i="8" s="1"/>
  <c r="E47" i="3"/>
  <c r="E46" i="8" s="1"/>
  <c r="J46" i="8" s="1"/>
  <c r="E46" i="3"/>
  <c r="E45" i="8" s="1"/>
  <c r="J45" i="8" s="1"/>
  <c r="E45" i="3"/>
  <c r="E44" i="8" s="1"/>
  <c r="J44" i="8" s="1"/>
  <c r="E44" i="3"/>
  <c r="E43" i="8" s="1"/>
  <c r="J43" i="8" s="1"/>
  <c r="E43" i="3"/>
  <c r="E42" i="8" s="1"/>
  <c r="J42" i="8" s="1"/>
  <c r="E42" i="3"/>
  <c r="E41" i="8" s="1"/>
  <c r="J41" i="8" s="1"/>
  <c r="E41" i="3"/>
  <c r="E40" i="8" s="1"/>
  <c r="J40" i="8" s="1"/>
  <c r="E40" i="3"/>
  <c r="E39" i="8" s="1"/>
  <c r="J39" i="8" s="1"/>
  <c r="E36" i="3"/>
  <c r="E35" i="8" s="1"/>
  <c r="J35" i="8" s="1"/>
  <c r="E35" i="3"/>
  <c r="E34" i="8" s="1"/>
  <c r="J34" i="8" s="1"/>
  <c r="E34" i="3"/>
  <c r="E33" i="8" s="1"/>
  <c r="J33" i="8" s="1"/>
  <c r="E33" i="3"/>
  <c r="E32" i="8" s="1"/>
  <c r="J32" i="8" s="1"/>
  <c r="E32" i="3"/>
  <c r="E31" i="8" s="1"/>
  <c r="J31" i="8" s="1"/>
  <c r="E31" i="3"/>
  <c r="E30" i="8" s="1"/>
  <c r="J30" i="8" s="1"/>
  <c r="E30" i="3"/>
  <c r="E29" i="8" s="1"/>
  <c r="J29" i="8" s="1"/>
  <c r="E29" i="3"/>
  <c r="E28" i="8" s="1"/>
  <c r="J28" i="8" s="1"/>
  <c r="E28" i="3"/>
  <c r="E27" i="8" s="1"/>
  <c r="J27" i="8" s="1"/>
  <c r="E27" i="3"/>
  <c r="E26" i="8" s="1"/>
  <c r="J26" i="8" s="1"/>
  <c r="E21" i="3"/>
  <c r="E21" i="8" s="1"/>
  <c r="J21" i="8" s="1"/>
  <c r="E20" i="3"/>
  <c r="E20" i="8" s="1"/>
  <c r="J20" i="8" s="1"/>
  <c r="E19" i="3"/>
  <c r="E19" i="8" s="1"/>
  <c r="J19" i="8" s="1"/>
  <c r="E18" i="3"/>
  <c r="E18" i="8" s="1"/>
  <c r="J18" i="8" s="1"/>
  <c r="E17" i="3"/>
  <c r="E17" i="8" s="1"/>
  <c r="J17" i="8" s="1"/>
  <c r="E16" i="3"/>
  <c r="E16" i="8" s="1"/>
  <c r="J16" i="8" s="1"/>
  <c r="E15" i="3"/>
  <c r="E15" i="8" s="1"/>
  <c r="J15" i="8" s="1"/>
  <c r="E14" i="3"/>
  <c r="E14" i="8" s="1"/>
  <c r="J14" i="8" s="1"/>
  <c r="E13" i="3"/>
  <c r="E13" i="8" s="1"/>
  <c r="J13" i="8" s="1"/>
  <c r="E12" i="3"/>
  <c r="E12" i="8" s="1"/>
  <c r="J12" i="8" s="1"/>
  <c r="E11" i="3"/>
  <c r="E11" i="8" s="1"/>
  <c r="J11" i="8" s="1"/>
  <c r="E10" i="3"/>
  <c r="E10" i="8" s="1"/>
  <c r="J10" i="8" s="1"/>
  <c r="E9" i="3"/>
  <c r="E9" i="8" s="1"/>
  <c r="J9" i="8" s="1"/>
  <c r="E8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2" i="3"/>
  <c r="E3" i="8"/>
  <c r="E82" i="2"/>
  <c r="J3" i="8" l="1"/>
  <c r="E83" i="8"/>
  <c r="J83" i="8" s="1"/>
</calcChain>
</file>

<file path=xl/sharedStrings.xml><?xml version="1.0" encoding="utf-8"?>
<sst xmlns="http://schemas.openxmlformats.org/spreadsheetml/2006/main" count="1139" uniqueCount="106">
  <si>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</si>
  <si>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</si>
  <si>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</si>
  <si>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</si>
  <si>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</si>
  <si>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</si>
  <si>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</si>
  <si>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</si>
  <si>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</si>
  <si>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</si>
  <si>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</si>
  <si>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</si>
  <si>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</si>
  <si>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</si>
  <si>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</si>
  <si>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</si>
  <si>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</si>
  <si>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</si>
  <si>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</si>
  <si>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</si>
  <si>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</si>
  <si>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</si>
  <si>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</si>
  <si>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</si>
  <si>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</si>
  <si>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</si>
  <si>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</si>
  <si>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</si>
  <si>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</si>
  <si>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</si>
  <si>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</si>
  <si>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</si>
  <si>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</si>
  <si>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</si>
  <si>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</si>
  <si>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</si>
  <si>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</si>
  <si>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</si>
  <si>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</si>
  <si>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</si>
  <si>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</si>
  <si>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</si>
  <si>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</si>
  <si>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</si>
  <si>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</si>
  <si>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</si>
  <si>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</si>
  <si>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</si>
  <si>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</si>
  <si>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</si>
  <si>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</si>
  <si>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</si>
  <si>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</si>
  <si>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</si>
  <si>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</si>
  <si>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</si>
  <si>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</si>
  <si>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</si>
  <si>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</si>
  <si>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</si>
  <si>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</si>
  <si>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</si>
  <si>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</si>
  <si>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</si>
  <si>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</si>
  <si>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</si>
  <si>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</si>
  <si>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</si>
  <si>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</si>
  <si>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</si>
  <si>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</si>
  <si>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</si>
  <si>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</si>
  <si>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</si>
  <si>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</si>
  <si>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</si>
  <si>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</si>
  <si>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</si>
  <si>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</si>
  <si>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</si>
  <si>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</si>
  <si>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</si>
  <si>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</si>
  <si>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</si>
  <si>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</si>
  <si>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</si>
  <si>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</si>
  <si>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</si>
  <si>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</si>
  <si>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</si>
  <si>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</si>
  <si>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</si>
  <si>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</si>
  <si>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</si>
  <si>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</si>
  <si>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</si>
  <si>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</si>
  <si>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</si>
  <si>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</si>
  <si>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</si>
  <si>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Chivita</t>
  </si>
  <si>
    <t>Smilenuf gin</t>
  </si>
  <si>
    <t>Active</t>
  </si>
  <si>
    <t>Egg</t>
  </si>
  <si>
    <t>Yam &amp; Egg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</si>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</sst>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1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52" zoomScale="77" zoomScaleNormal="100" zoomScaleSheetLayoutView="106" workbookViewId="0">
      <selection activeCell="G85" sqref="G8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'Sales-15'!E3</f>
        <v>0</v>
      </c>
      <c r="D3" s="36">
        <f>'Sales-16'!E3</f>
        <v>0</v>
      </c>
      <c r="E3" s="36">
        <f>'Sales-17'!E3</f>
        <v>0</v>
      </c>
      <c r="F3" s="36">
        <f>'Sales-18'!E3</f>
        <v>0</v>
      </c>
      <c r="G3" s="36">
        <f>'Sales-19'!E3</f>
        <v>0</v>
      </c>
      <c r="H3" s="36">
        <f>'Sales-20'!E3</f>
        <v>0</v>
      </c>
      <c r="I3" s="36">
        <f>'Sales-21'!E3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'Sales-15'!E4</f>
        <v>0</v>
      </c>
      <c r="D4" s="36">
        <f>'Sales-16'!E4</f>
        <v>0</v>
      </c>
      <c r="E4" s="36">
        <f>'Sales-17'!E4</f>
        <v>0</v>
      </c>
      <c r="F4" s="36">
        <f>'Sales-18'!E4</f>
        <v>0</v>
      </c>
      <c r="G4" s="36">
        <f>'Sales-19'!E4</f>
        <v>0</v>
      </c>
      <c r="H4" s="36">
        <f>'Sales-20'!E4</f>
        <v>0</v>
      </c>
      <c r="I4" s="36">
        <f>'Sales-21'!E4</f>
        <v>1600</v>
      </c>
      <c r="J4" s="34">
        <f t="shared" ref="J4:J67" si="0">SUM(C4:I4)</f>
        <v>1600</v>
      </c>
    </row>
    <row r="5" spans="1:15" ht="15" thickBot="1" x14ac:dyDescent="0.35">
      <c r="A5" s="26" t="s">
        <v>10</v>
      </c>
      <c r="B5" s="27" t="s">
        <v>11</v>
      </c>
      <c r="C5" s="36">
        <f>'Sales-15'!E5</f>
        <v>0</v>
      </c>
      <c r="D5" s="36">
        <f>'Sales-16'!E5</f>
        <v>0</v>
      </c>
      <c r="E5" s="36">
        <f>'Sales-17'!E5</f>
        <v>0</v>
      </c>
      <c r="F5" s="36">
        <f>'Sales-18'!E5</f>
        <v>0</v>
      </c>
      <c r="G5" s="36">
        <f>'Sales-19'!E5</f>
        <v>900</v>
      </c>
      <c r="H5" s="36">
        <f>'Sales-20'!E5</f>
        <v>0</v>
      </c>
      <c r="I5" s="36">
        <f>'Sales-21'!E5</f>
        <v>2700</v>
      </c>
      <c r="J5" s="34">
        <f t="shared" si="0"/>
        <v>3600</v>
      </c>
    </row>
    <row r="6" spans="1:15" ht="15" thickBot="1" x14ac:dyDescent="0.35">
      <c r="A6" s="26" t="s">
        <v>12</v>
      </c>
      <c r="B6" s="27" t="s">
        <v>13</v>
      </c>
      <c r="C6" s="36">
        <f>'Sales-15'!E6</f>
        <v>1600</v>
      </c>
      <c r="D6" s="36">
        <f>'Sales-16'!E6</f>
        <v>2000</v>
      </c>
      <c r="E6" s="36">
        <f>'Sales-17'!E6</f>
        <v>0</v>
      </c>
      <c r="F6" s="36">
        <f>'Sales-18'!E6</f>
        <v>0</v>
      </c>
      <c r="G6" s="36">
        <f>'Sales-19'!E6</f>
        <v>1700</v>
      </c>
      <c r="H6" s="36">
        <f>'Sales-20'!E6</f>
        <v>0</v>
      </c>
      <c r="I6" s="36">
        <f>'Sales-21'!E6</f>
        <v>2300</v>
      </c>
      <c r="J6" s="34">
        <f t="shared" si="0"/>
        <v>7600</v>
      </c>
    </row>
    <row r="7" spans="1:15" ht="15" thickBot="1" x14ac:dyDescent="0.35">
      <c r="A7" s="26" t="s">
        <v>14</v>
      </c>
      <c r="B7" s="27" t="s">
        <v>15</v>
      </c>
      <c r="C7" s="36">
        <f>'Sales-15'!E7</f>
        <v>0</v>
      </c>
      <c r="D7" s="36">
        <f>'Sales-16'!E7</f>
        <v>0</v>
      </c>
      <c r="E7" s="36">
        <f>'Sales-17'!E7</f>
        <v>0</v>
      </c>
      <c r="F7" s="36">
        <f>'Sales-18'!E7</f>
        <v>0</v>
      </c>
      <c r="G7" s="36">
        <f>'Sales-19'!E7</f>
        <v>0</v>
      </c>
      <c r="H7" s="36">
        <f>'Sales-20'!E7</f>
        <v>0</v>
      </c>
      <c r="I7" s="36">
        <f>'Sales-21'!E7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'Sales-15'!E8</f>
        <v>0</v>
      </c>
      <c r="D8" s="36">
        <f>'Sales-16'!E8</f>
        <v>0</v>
      </c>
      <c r="E8" s="36">
        <f>'Sales-17'!E8</f>
        <v>0</v>
      </c>
      <c r="F8" s="36">
        <f>'Sales-18'!E8</f>
        <v>0</v>
      </c>
      <c r="G8" s="36">
        <f>'Sales-19'!E8</f>
        <v>0</v>
      </c>
      <c r="H8" s="36">
        <f>'Sales-20'!E8</f>
        <v>0</v>
      </c>
      <c r="I8" s="36">
        <f>'Sales-21'!E8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'Sales-15'!E9</f>
        <v>0</v>
      </c>
      <c r="D9" s="36">
        <f>'Sales-16'!E9</f>
        <v>0</v>
      </c>
      <c r="E9" s="36">
        <f>'Sales-17'!E9</f>
        <v>0</v>
      </c>
      <c r="F9" s="36">
        <f>'Sales-18'!E9</f>
        <v>0</v>
      </c>
      <c r="G9" s="36">
        <f>'Sales-19'!E9</f>
        <v>0</v>
      </c>
      <c r="H9" s="36">
        <f>'Sales-20'!E9</f>
        <v>0</v>
      </c>
      <c r="I9" s="36">
        <f>'Sales-21'!E9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'Sales-15'!E10</f>
        <v>700</v>
      </c>
      <c r="D10" s="36">
        <f>'Sales-16'!E10</f>
        <v>0</v>
      </c>
      <c r="E10" s="36">
        <f>'Sales-17'!E10</f>
        <v>0</v>
      </c>
      <c r="F10" s="36">
        <f>'Sales-18'!E10</f>
        <v>2100</v>
      </c>
      <c r="G10" s="36">
        <f>'Sales-19'!E10</f>
        <v>0</v>
      </c>
      <c r="H10" s="36">
        <f>'Sales-20'!E10</f>
        <v>0</v>
      </c>
      <c r="I10" s="36">
        <f>'Sales-21'!E10</f>
        <v>800</v>
      </c>
      <c r="J10" s="34">
        <f t="shared" si="0"/>
        <v>3600</v>
      </c>
    </row>
    <row r="11" spans="1:15" ht="15" thickBot="1" x14ac:dyDescent="0.35">
      <c r="A11" s="26" t="s">
        <v>8</v>
      </c>
      <c r="B11" s="27" t="s">
        <v>18</v>
      </c>
      <c r="C11" s="36">
        <f>'Sales-15'!E11</f>
        <v>400</v>
      </c>
      <c r="D11" s="36">
        <f>'Sales-16'!E11</f>
        <v>0</v>
      </c>
      <c r="E11" s="36">
        <f>'Sales-17'!E11</f>
        <v>0</v>
      </c>
      <c r="F11" s="36">
        <f>'Sales-18'!E11</f>
        <v>0</v>
      </c>
      <c r="G11" s="36">
        <f>'Sales-19'!E11</f>
        <v>0</v>
      </c>
      <c r="H11" s="36">
        <f>'Sales-20'!E11</f>
        <v>0</v>
      </c>
      <c r="I11" s="36">
        <f>'Sales-21'!E11</f>
        <v>450</v>
      </c>
      <c r="J11" s="34">
        <f t="shared" si="0"/>
        <v>850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'Sales-15'!E12</f>
        <v>0</v>
      </c>
      <c r="D12" s="36">
        <f>'Sales-16'!E12</f>
        <v>0</v>
      </c>
      <c r="E12" s="36">
        <f>'Sales-17'!E12</f>
        <v>0</v>
      </c>
      <c r="F12" s="36">
        <f>'Sales-18'!E12</f>
        <v>0</v>
      </c>
      <c r="G12" s="36">
        <f>'Sales-19'!E12</f>
        <v>0</v>
      </c>
      <c r="H12" s="36">
        <f>'Sales-20'!E12</f>
        <v>0</v>
      </c>
      <c r="I12" s="36">
        <f>'Sales-21'!E12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'Sales-15'!E13</f>
        <v>0</v>
      </c>
      <c r="D13" s="36">
        <f>'Sales-16'!E13</f>
        <v>0</v>
      </c>
      <c r="E13" s="36">
        <f>'Sales-17'!E13</f>
        <v>0</v>
      </c>
      <c r="F13" s="36">
        <f>'Sales-18'!E13</f>
        <v>0</v>
      </c>
      <c r="G13" s="36">
        <f>'Sales-19'!E13</f>
        <v>0</v>
      </c>
      <c r="H13" s="36">
        <f>'Sales-20'!E13</f>
        <v>0</v>
      </c>
      <c r="I13" s="36">
        <f>'Sales-21'!E13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'Sales-15'!E14</f>
        <v>0</v>
      </c>
      <c r="D14" s="36">
        <f>'Sales-16'!E14</f>
        <v>6000</v>
      </c>
      <c r="E14" s="36">
        <f>'Sales-17'!E14</f>
        <v>0</v>
      </c>
      <c r="F14" s="36">
        <f>'Sales-18'!E14</f>
        <v>0</v>
      </c>
      <c r="G14" s="36">
        <f>'Sales-19'!E14</f>
        <v>4800</v>
      </c>
      <c r="H14" s="36">
        <f>'Sales-20'!E14</f>
        <v>6400</v>
      </c>
      <c r="I14" s="36">
        <f>'Sales-21'!E14</f>
        <v>1700</v>
      </c>
      <c r="J14" s="34">
        <f t="shared" si="0"/>
        <v>18900</v>
      </c>
    </row>
    <row r="15" spans="1:15" ht="15" thickBot="1" x14ac:dyDescent="0.35">
      <c r="A15" s="26" t="s">
        <v>22</v>
      </c>
      <c r="B15" s="27" t="s">
        <v>23</v>
      </c>
      <c r="C15" s="36">
        <f>'Sales-15'!E15</f>
        <v>0</v>
      </c>
      <c r="D15" s="36">
        <f>'Sales-16'!E15</f>
        <v>500</v>
      </c>
      <c r="E15" s="36">
        <f>'Sales-17'!E15</f>
        <v>7500</v>
      </c>
      <c r="F15" s="36">
        <f>'Sales-18'!E15</f>
        <v>0</v>
      </c>
      <c r="G15" s="36">
        <f>'Sales-19'!E15</f>
        <v>2000</v>
      </c>
      <c r="H15" s="36">
        <f>'Sales-20'!E15</f>
        <v>600</v>
      </c>
      <c r="I15" s="36">
        <f>'Sales-21'!E15</f>
        <v>1200</v>
      </c>
      <c r="J15" s="34">
        <f t="shared" si="0"/>
        <v>11800</v>
      </c>
    </row>
    <row r="16" spans="1:15" ht="15" thickBot="1" x14ac:dyDescent="0.35">
      <c r="A16" s="26" t="s">
        <v>24</v>
      </c>
      <c r="B16" s="27" t="s">
        <v>25</v>
      </c>
      <c r="C16" s="36">
        <f>'Sales-15'!E16</f>
        <v>2000</v>
      </c>
      <c r="D16" s="36">
        <f>'Sales-16'!E16</f>
        <v>1600</v>
      </c>
      <c r="E16" s="36">
        <f>'Sales-17'!E16</f>
        <v>1600</v>
      </c>
      <c r="F16" s="36">
        <f>'Sales-18'!E16</f>
        <v>0</v>
      </c>
      <c r="G16" s="36">
        <f>'Sales-19'!E16</f>
        <v>0</v>
      </c>
      <c r="H16" s="36">
        <f>'Sales-20'!E16</f>
        <v>1350</v>
      </c>
      <c r="I16" s="36">
        <f>'Sales-21'!E16</f>
        <v>0</v>
      </c>
      <c r="J16" s="34">
        <f t="shared" si="0"/>
        <v>6550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'Sales-15'!E17</f>
        <v>0</v>
      </c>
      <c r="D17" s="36">
        <f>'Sales-16'!E17</f>
        <v>0</v>
      </c>
      <c r="E17" s="36">
        <f>'Sales-17'!E17</f>
        <v>0</v>
      </c>
      <c r="F17" s="36">
        <f>'Sales-18'!E17</f>
        <v>0</v>
      </c>
      <c r="G17" s="36">
        <f>'Sales-19'!E17</f>
        <v>0</v>
      </c>
      <c r="H17" s="36">
        <f>'Sales-20'!E17</f>
        <v>0</v>
      </c>
      <c r="I17" s="36">
        <f>'Sales-21'!E17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'Sales-15'!E18</f>
        <v>800</v>
      </c>
      <c r="D18" s="36">
        <f>'Sales-16'!E18</f>
        <v>400</v>
      </c>
      <c r="E18" s="36">
        <f>'Sales-17'!E18</f>
        <v>1600</v>
      </c>
      <c r="F18" s="36">
        <f>'Sales-18'!E18</f>
        <v>1200</v>
      </c>
      <c r="G18" s="36">
        <f>'Sales-19'!E18</f>
        <v>400</v>
      </c>
      <c r="H18" s="36">
        <f>'Sales-20'!E18</f>
        <v>0</v>
      </c>
      <c r="I18" s="36">
        <f>'Sales-21'!E18</f>
        <v>1350</v>
      </c>
      <c r="J18" s="34">
        <f t="shared" si="0"/>
        <v>5750</v>
      </c>
    </row>
    <row r="19" spans="1:10" ht="15" thickBot="1" x14ac:dyDescent="0.35">
      <c r="A19" s="26" t="s">
        <v>30</v>
      </c>
      <c r="B19" s="27" t="s">
        <v>31</v>
      </c>
      <c r="C19" s="36">
        <f>'Sales-15'!E19</f>
        <v>3000</v>
      </c>
      <c r="D19" s="36">
        <f>'Sales-16'!E19</f>
        <v>0</v>
      </c>
      <c r="E19" s="36">
        <f>'Sales-17'!E19</f>
        <v>500</v>
      </c>
      <c r="F19" s="36">
        <f>'Sales-18'!E19</f>
        <v>1500</v>
      </c>
      <c r="G19" s="36">
        <f>'Sales-19'!E19</f>
        <v>2000</v>
      </c>
      <c r="H19" s="36">
        <f>'Sales-20'!E19</f>
        <v>1100</v>
      </c>
      <c r="I19" s="36">
        <f>'Sales-21'!E19</f>
        <v>600</v>
      </c>
      <c r="J19" s="34">
        <f t="shared" si="0"/>
        <v>8700</v>
      </c>
    </row>
    <row r="20" spans="1:10" ht="15" thickBot="1" x14ac:dyDescent="0.35">
      <c r="A20" s="26" t="s">
        <v>32</v>
      </c>
      <c r="B20" s="27" t="s">
        <v>33</v>
      </c>
      <c r="C20" s="36">
        <f>'Sales-15'!E20</f>
        <v>2000</v>
      </c>
      <c r="D20" s="36">
        <f>'Sales-16'!E20</f>
        <v>1200</v>
      </c>
      <c r="E20" s="36">
        <f>'Sales-17'!E20</f>
        <v>400</v>
      </c>
      <c r="F20" s="36">
        <f>'Sales-18'!E20</f>
        <v>1000</v>
      </c>
      <c r="G20" s="36">
        <f>'Sales-19'!E20</f>
        <v>2200</v>
      </c>
      <c r="H20" s="36">
        <f>'Sales-20'!E20</f>
        <v>1200</v>
      </c>
      <c r="I20" s="36">
        <f>'Sales-21'!E20</f>
        <v>1200</v>
      </c>
      <c r="J20" s="34">
        <f t="shared" si="0"/>
        <v>9200</v>
      </c>
    </row>
    <row r="21" spans="1:10" ht="15" thickBot="1" x14ac:dyDescent="0.35">
      <c r="A21" s="26" t="s">
        <v>34</v>
      </c>
      <c r="B21" s="27" t="s">
        <v>35</v>
      </c>
      <c r="C21" s="36">
        <f>'Sales-15'!E21</f>
        <v>0</v>
      </c>
      <c r="D21" s="36">
        <f>'Sales-16'!E21</f>
        <v>0</v>
      </c>
      <c r="E21" s="36">
        <f>'Sales-17'!E21</f>
        <v>0</v>
      </c>
      <c r="F21" s="36">
        <f>'Sales-18'!E21</f>
        <v>2000</v>
      </c>
      <c r="G21" s="36">
        <f>'Sales-19'!E21</f>
        <v>2000</v>
      </c>
      <c r="H21" s="36">
        <f>'Sales-20'!E21</f>
        <v>1100</v>
      </c>
      <c r="I21" s="36">
        <f>'Sales-21'!E21</f>
        <v>3000</v>
      </c>
      <c r="J21" s="34">
        <f t="shared" si="0"/>
        <v>8100</v>
      </c>
    </row>
    <row r="22" spans="1:10" ht="15" thickBot="1" x14ac:dyDescent="0.35">
      <c r="A22" s="26" t="s">
        <v>66</v>
      </c>
      <c r="B22" s="27" t="s">
        <v>91</v>
      </c>
      <c r="C22" s="36">
        <f>'Sales-15'!E22</f>
        <v>300</v>
      </c>
      <c r="D22" s="36">
        <f>'Sales-16'!E22</f>
        <v>0</v>
      </c>
      <c r="E22" s="36">
        <f>'Sales-17'!E22</f>
        <v>0</v>
      </c>
      <c r="F22" s="36">
        <f>'Sales-18'!E22</f>
        <v>0</v>
      </c>
      <c r="G22" s="36">
        <f>'Sales-19'!E22</f>
        <v>0</v>
      </c>
      <c r="H22" s="36">
        <f>'Sales-20'!E22</f>
        <v>0</v>
      </c>
      <c r="I22" s="36">
        <f>'Sales-21'!E22</f>
        <v>0</v>
      </c>
      <c r="J22" s="34">
        <f t="shared" si="0"/>
        <v>300</v>
      </c>
    </row>
    <row r="23" spans="1:10" ht="15" thickBot="1" x14ac:dyDescent="0.35">
      <c r="A23" s="26" t="s">
        <v>68</v>
      </c>
      <c r="B23" s="27" t="s">
        <v>92</v>
      </c>
      <c r="C23" s="36">
        <f>'Sales-15'!E23</f>
        <v>400</v>
      </c>
      <c r="D23" s="36">
        <f>'Sales-16'!E23</f>
        <v>0</v>
      </c>
      <c r="E23" s="36">
        <f>'Sales-17'!E23</f>
        <v>400</v>
      </c>
      <c r="F23" s="36">
        <f>'Sales-18'!E23</f>
        <v>400</v>
      </c>
      <c r="G23" s="36">
        <f>'Sales-19'!E23</f>
        <v>0</v>
      </c>
      <c r="H23" s="36">
        <f>'Sales-20'!E23</f>
        <v>450</v>
      </c>
      <c r="I23" s="36">
        <f>'Sales-21'!E23</f>
        <v>450</v>
      </c>
      <c r="J23" s="34">
        <f t="shared" si="0"/>
        <v>2100</v>
      </c>
    </row>
    <row r="24" spans="1:10" ht="15" thickBot="1" x14ac:dyDescent="0.35">
      <c r="A24" s="26" t="s">
        <v>70</v>
      </c>
      <c r="B24" s="27" t="s">
        <v>94</v>
      </c>
      <c r="C24" s="36">
        <f>'Sales-15'!E24</f>
        <v>0</v>
      </c>
      <c r="D24" s="36">
        <f>'Sales-16'!E24</f>
        <v>0</v>
      </c>
      <c r="E24" s="36">
        <f>'Sales-17'!E24</f>
        <v>0</v>
      </c>
      <c r="F24" s="36">
        <f>'Sales-18'!E24</f>
        <v>0</v>
      </c>
      <c r="G24" s="36">
        <f>'Sales-19'!E24</f>
        <v>0</v>
      </c>
      <c r="H24" s="36">
        <f>'Sales-20'!E24</f>
        <v>0</v>
      </c>
      <c r="I24" s="36">
        <f>'Sales-21'!E24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'Sales-15'!E25</f>
        <v>0</v>
      </c>
      <c r="D25" s="36">
        <f>'Sales-16'!E25</f>
        <v>0</v>
      </c>
      <c r="E25" s="36">
        <f>'Sales-17'!E25</f>
        <v>0</v>
      </c>
      <c r="F25" s="36">
        <f>'Sales-18'!E25</f>
        <v>0</v>
      </c>
      <c r="G25" s="36">
        <f>'Sales-19'!E25</f>
        <v>0</v>
      </c>
      <c r="H25" s="36">
        <f>'Sales-20'!E25</f>
        <v>0</v>
      </c>
      <c r="I25" s="36">
        <f>'Sales-21'!E25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'Sales-15'!E28</f>
        <v>0</v>
      </c>
      <c r="D26" s="36">
        <f>'Sales-16'!E27</f>
        <v>0</v>
      </c>
      <c r="E26" s="36">
        <f>'Sales-17'!E27</f>
        <v>0</v>
      </c>
      <c r="F26" s="36">
        <f>'Sales-18'!E27</f>
        <v>0</v>
      </c>
      <c r="G26" s="36">
        <f>'Sales-19'!E28</f>
        <v>0</v>
      </c>
      <c r="H26" s="36">
        <f>'Sales-20'!E27</f>
        <v>0</v>
      </c>
      <c r="I26" s="36">
        <f>'Sales-21'!E27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'Sales-15'!E29</f>
        <v>0</v>
      </c>
      <c r="D27" s="36">
        <f>'Sales-16'!E28</f>
        <v>0</v>
      </c>
      <c r="E27" s="36">
        <f>'Sales-17'!E28</f>
        <v>0</v>
      </c>
      <c r="F27" s="36">
        <f>'Sales-18'!E28</f>
        <v>0</v>
      </c>
      <c r="G27" s="36">
        <f>'Sales-19'!E29</f>
        <v>0</v>
      </c>
      <c r="H27" s="36">
        <f>'Sales-20'!E28</f>
        <v>0</v>
      </c>
      <c r="I27" s="36">
        <f>'Sales-21'!E28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'Sales-15'!E30</f>
        <v>13800</v>
      </c>
      <c r="D28" s="36">
        <f>'Sales-16'!E29</f>
        <v>14000</v>
      </c>
      <c r="E28" s="36">
        <f>'Sales-17'!E29</f>
        <v>6000</v>
      </c>
      <c r="F28" s="36">
        <f>'Sales-18'!E29</f>
        <v>5600</v>
      </c>
      <c r="G28" s="36">
        <f>'Sales-19'!E30</f>
        <v>5500</v>
      </c>
      <c r="H28" s="36">
        <f>'Sales-20'!E29</f>
        <v>5200</v>
      </c>
      <c r="I28" s="36">
        <f>'Sales-21'!E29</f>
        <v>14000</v>
      </c>
      <c r="J28" s="34">
        <f t="shared" si="0"/>
        <v>64100</v>
      </c>
    </row>
    <row r="29" spans="1:10" ht="15" thickBot="1" x14ac:dyDescent="0.35">
      <c r="A29" s="26" t="s">
        <v>8</v>
      </c>
      <c r="B29" s="27" t="s">
        <v>38</v>
      </c>
      <c r="C29" s="36">
        <f>'Sales-15'!E31</f>
        <v>3000</v>
      </c>
      <c r="D29" s="36">
        <f>'Sales-16'!E30</f>
        <v>6200</v>
      </c>
      <c r="E29" s="36">
        <f>'Sales-17'!E30</f>
        <v>4000</v>
      </c>
      <c r="F29" s="36">
        <f>'Sales-18'!E30</f>
        <v>0</v>
      </c>
      <c r="G29" s="36">
        <f>'Sales-19'!E31</f>
        <v>3450</v>
      </c>
      <c r="H29" s="36">
        <f>'Sales-20'!E30</f>
        <v>4600</v>
      </c>
      <c r="I29" s="36">
        <f>'Sales-21'!E30</f>
        <v>16500</v>
      </c>
      <c r="J29" s="34">
        <f t="shared" si="0"/>
        <v>37750</v>
      </c>
    </row>
    <row r="30" spans="1:10" ht="15" thickBot="1" x14ac:dyDescent="0.35">
      <c r="A30" s="26" t="s">
        <v>10</v>
      </c>
      <c r="B30" s="27" t="s">
        <v>39</v>
      </c>
      <c r="C30" s="36">
        <f>'Sales-15'!E32</f>
        <v>0</v>
      </c>
      <c r="D30" s="36">
        <f>'Sales-16'!E31</f>
        <v>0</v>
      </c>
      <c r="E30" s="36">
        <f>'Sales-17'!E31</f>
        <v>0</v>
      </c>
      <c r="F30" s="36">
        <f>'Sales-18'!E31</f>
        <v>0</v>
      </c>
      <c r="G30" s="36">
        <f>'Sales-19'!E32</f>
        <v>0</v>
      </c>
      <c r="H30" s="36">
        <f>'Sales-20'!E31</f>
        <v>0</v>
      </c>
      <c r="I30" s="36">
        <f>'Sales-21'!E31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'Sales-15'!E33</f>
        <v>0</v>
      </c>
      <c r="D31" s="36">
        <f>'Sales-16'!E32</f>
        <v>0</v>
      </c>
      <c r="E31" s="36">
        <f>'Sales-17'!E32</f>
        <v>0</v>
      </c>
      <c r="F31" s="36">
        <f>'Sales-18'!E32</f>
        <v>0</v>
      </c>
      <c r="G31" s="36">
        <f>'Sales-19'!E33</f>
        <v>0</v>
      </c>
      <c r="H31" s="36">
        <f>'Sales-20'!E32</f>
        <v>0</v>
      </c>
      <c r="I31" s="36">
        <f>'Sales-21'!E32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'Sales-15'!E34</f>
        <v>3000</v>
      </c>
      <c r="D32" s="36">
        <f>'Sales-16'!E33</f>
        <v>5000</v>
      </c>
      <c r="E32" s="36">
        <f>'Sales-17'!E33</f>
        <v>0</v>
      </c>
      <c r="F32" s="36">
        <f>'Sales-18'!E33</f>
        <v>0</v>
      </c>
      <c r="G32" s="36">
        <f>'Sales-19'!E34</f>
        <v>0</v>
      </c>
      <c r="H32" s="36">
        <f>'Sales-20'!E33</f>
        <v>8000</v>
      </c>
      <c r="I32" s="36">
        <f>'Sales-21'!E33</f>
        <v>8500</v>
      </c>
      <c r="J32" s="34">
        <f t="shared" si="0"/>
        <v>24500</v>
      </c>
    </row>
    <row r="33" spans="1:18" ht="15" thickBot="1" x14ac:dyDescent="0.35">
      <c r="A33" s="26" t="s">
        <v>22</v>
      </c>
      <c r="B33" s="27" t="s">
        <v>42</v>
      </c>
      <c r="C33" s="36">
        <f>'Sales-15'!E35</f>
        <v>2000</v>
      </c>
      <c r="D33" s="36">
        <f>'Sales-16'!E34</f>
        <v>0</v>
      </c>
      <c r="E33" s="36">
        <f>'Sales-17'!E34</f>
        <v>0</v>
      </c>
      <c r="F33" s="36">
        <f>'Sales-18'!E34</f>
        <v>0</v>
      </c>
      <c r="G33" s="36">
        <f>'Sales-19'!E35</f>
        <v>0</v>
      </c>
      <c r="H33" s="36">
        <f>'Sales-20'!E34</f>
        <v>0</v>
      </c>
      <c r="I33" s="36">
        <f>'Sales-21'!E34</f>
        <v>1000</v>
      </c>
      <c r="J33" s="34">
        <f t="shared" si="0"/>
        <v>3000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'Sales-15'!E36</f>
        <v>0</v>
      </c>
      <c r="D34" s="36">
        <f>'Sales-16'!E35</f>
        <v>0</v>
      </c>
      <c r="E34" s="36">
        <f>'Sales-17'!E35</f>
        <v>0</v>
      </c>
      <c r="F34" s="36">
        <f>'Sales-18'!E35</f>
        <v>0</v>
      </c>
      <c r="G34" s="36">
        <f>'Sales-19'!E36</f>
        <v>0</v>
      </c>
      <c r="H34" s="36">
        <f>'Sales-20'!E35</f>
        <v>0</v>
      </c>
      <c r="I34" s="36">
        <f>'Sales-21'!E35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'Sales-15'!E37</f>
        <v>0</v>
      </c>
      <c r="D35" s="36">
        <f>'Sales-16'!E36</f>
        <v>0</v>
      </c>
      <c r="E35" s="36">
        <f>'Sales-17'!E36</f>
        <v>0</v>
      </c>
      <c r="F35" s="36">
        <f>'Sales-18'!E36</f>
        <v>0</v>
      </c>
      <c r="G35" s="36">
        <f>'Sales-19'!E37</f>
        <v>0</v>
      </c>
      <c r="H35" s="36">
        <f>'Sales-20'!E36</f>
        <v>0</v>
      </c>
      <c r="I35" s="36">
        <f>'Sales-21'!E36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'Sales-15'!E38</f>
        <v>0</v>
      </c>
      <c r="D36" s="36">
        <f>'Sales-16'!E37</f>
        <v>1400</v>
      </c>
      <c r="E36" s="36">
        <f>'Sales-17'!E37</f>
        <v>0</v>
      </c>
      <c r="F36" s="36">
        <f>'Sales-18'!E37</f>
        <v>3000</v>
      </c>
      <c r="G36" s="36">
        <f>'Sales-19'!E38</f>
        <v>0</v>
      </c>
      <c r="H36" s="36">
        <f>'Sales-20'!E37</f>
        <v>0</v>
      </c>
      <c r="I36" s="36">
        <f>'Sales-21'!E37</f>
        <v>400</v>
      </c>
      <c r="J36" s="34">
        <f t="shared" si="0"/>
        <v>4800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'Sales-15'!E39</f>
        <v>0</v>
      </c>
      <c r="D37" s="36">
        <f>'Sales-16'!E38</f>
        <v>0</v>
      </c>
      <c r="E37" s="36">
        <f>'Sales-17'!E38</f>
        <v>0</v>
      </c>
      <c r="F37" s="36">
        <f>'Sales-18'!E38</f>
        <v>0</v>
      </c>
      <c r="G37" s="36">
        <f>'Sales-19'!E39</f>
        <v>0</v>
      </c>
      <c r="H37" s="36">
        <f>'Sales-20'!E38</f>
        <v>0</v>
      </c>
      <c r="I37" s="36">
        <f>'Sales-21'!E38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'Sales-15'!E40</f>
        <v>0</v>
      </c>
      <c r="D38" s="36">
        <f>'Sales-16'!E39</f>
        <v>3200</v>
      </c>
      <c r="E38" s="36">
        <f>'Sales-17'!E39</f>
        <v>0</v>
      </c>
      <c r="F38" s="36">
        <f>'Sales-18'!E39</f>
        <v>0</v>
      </c>
      <c r="G38" s="36">
        <f>'Sales-19'!E40</f>
        <v>0</v>
      </c>
      <c r="H38" s="36">
        <f>'Sales-20'!E39</f>
        <v>0</v>
      </c>
      <c r="I38" s="36">
        <f>'Sales-21'!E39</f>
        <v>0</v>
      </c>
      <c r="J38" s="34">
        <f t="shared" si="0"/>
        <v>3200</v>
      </c>
      <c r="O38" s="32"/>
      <c r="R38"/>
    </row>
    <row r="39" spans="1:18" ht="15" thickBot="1" x14ac:dyDescent="0.35">
      <c r="A39" s="27"/>
      <c r="B39" s="27"/>
      <c r="C39" s="36">
        <f>'Sales-15'!E41</f>
        <v>0</v>
      </c>
      <c r="D39" s="36">
        <f>'Sales-16'!E40</f>
        <v>0</v>
      </c>
      <c r="E39" s="36">
        <f>'Sales-17'!E40</f>
        <v>0</v>
      </c>
      <c r="F39" s="36">
        <f>'Sales-18'!E40</f>
        <v>0</v>
      </c>
      <c r="G39" s="36">
        <f>'Sales-19'!E41</f>
        <v>0</v>
      </c>
      <c r="H39" s="36">
        <f>'Sales-20'!E40</f>
        <v>0</v>
      </c>
      <c r="I39" s="36">
        <f>'Sales-21'!E40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'Sales-15'!E42</f>
        <v>0</v>
      </c>
      <c r="D40" s="36">
        <f>'Sales-16'!E41</f>
        <v>0</v>
      </c>
      <c r="E40" s="36">
        <f>'Sales-17'!E41</f>
        <v>0</v>
      </c>
      <c r="F40" s="36">
        <f>'Sales-18'!E41</f>
        <v>0</v>
      </c>
      <c r="G40" s="36">
        <f>'Sales-19'!E42</f>
        <v>0</v>
      </c>
      <c r="H40" s="36">
        <f>'Sales-20'!E41</f>
        <v>0</v>
      </c>
      <c r="I40" s="36">
        <f>'Sales-21'!E41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'Sales-15'!E43</f>
        <v>2800</v>
      </c>
      <c r="D41" s="36">
        <f>'Sales-16'!E42</f>
        <v>1500</v>
      </c>
      <c r="E41" s="36">
        <f>'Sales-17'!E42</f>
        <v>700</v>
      </c>
      <c r="F41" s="36">
        <f>'Sales-18'!E42</f>
        <v>0</v>
      </c>
      <c r="G41" s="36">
        <f>'Sales-19'!E43</f>
        <v>2100</v>
      </c>
      <c r="H41" s="36">
        <f>'Sales-20'!E42</f>
        <v>2100</v>
      </c>
      <c r="I41" s="36">
        <f>'Sales-21'!E42</f>
        <v>1400</v>
      </c>
      <c r="J41" s="34">
        <f t="shared" si="0"/>
        <v>10600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'Sales-15'!E44</f>
        <v>0</v>
      </c>
      <c r="D42" s="36">
        <f>'Sales-16'!E43</f>
        <v>700</v>
      </c>
      <c r="E42" s="36">
        <f>'Sales-17'!E43</f>
        <v>350</v>
      </c>
      <c r="F42" s="36">
        <f>'Sales-18'!E43</f>
        <v>700</v>
      </c>
      <c r="G42" s="36">
        <f>'Sales-19'!E44</f>
        <v>1400</v>
      </c>
      <c r="H42" s="36">
        <f>'Sales-20'!E43</f>
        <v>700</v>
      </c>
      <c r="I42" s="36">
        <f>'Sales-21'!E43</f>
        <v>0</v>
      </c>
      <c r="J42" s="34">
        <f t="shared" si="0"/>
        <v>3850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'Sales-15'!E45</f>
        <v>0</v>
      </c>
      <c r="D43" s="36">
        <f>'Sales-16'!E44</f>
        <v>0</v>
      </c>
      <c r="E43" s="36">
        <f>'Sales-17'!E44</f>
        <v>0</v>
      </c>
      <c r="F43" s="36">
        <f>'Sales-18'!E44</f>
        <v>0</v>
      </c>
      <c r="G43" s="36">
        <f>'Sales-19'!E45</f>
        <v>0</v>
      </c>
      <c r="H43" s="36">
        <f>'Sales-20'!E44</f>
        <v>0</v>
      </c>
      <c r="I43" s="36">
        <f>'Sales-21'!E44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'Sales-15'!E46</f>
        <v>0</v>
      </c>
      <c r="D44" s="36">
        <f>'Sales-16'!E45</f>
        <v>0</v>
      </c>
      <c r="E44" s="36">
        <f>'Sales-17'!E45</f>
        <v>0</v>
      </c>
      <c r="F44" s="36">
        <f>'Sales-18'!E45</f>
        <v>0</v>
      </c>
      <c r="G44" s="36">
        <f>'Sales-19'!E46</f>
        <v>0</v>
      </c>
      <c r="H44" s="36">
        <f>'Sales-20'!E45</f>
        <v>0</v>
      </c>
      <c r="I44" s="36">
        <f>'Sales-21'!E45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'Sales-15'!E47</f>
        <v>0</v>
      </c>
      <c r="D45" s="36">
        <f>'Sales-16'!E46</f>
        <v>0</v>
      </c>
      <c r="E45" s="36">
        <f>'Sales-17'!E46</f>
        <v>0</v>
      </c>
      <c r="F45" s="36">
        <f>'Sales-18'!E46</f>
        <v>0</v>
      </c>
      <c r="G45" s="36">
        <f>'Sales-19'!E47</f>
        <v>0</v>
      </c>
      <c r="H45" s="36">
        <f>'Sales-20'!E46</f>
        <v>0</v>
      </c>
      <c r="I45" s="36">
        <f>'Sales-21'!E46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'Sales-15'!E48</f>
        <v>0</v>
      </c>
      <c r="D46" s="36">
        <f>'Sales-16'!E47</f>
        <v>0</v>
      </c>
      <c r="E46" s="36">
        <f>'Sales-17'!E47</f>
        <v>0</v>
      </c>
      <c r="F46" s="36">
        <f>'Sales-18'!E47</f>
        <v>0</v>
      </c>
      <c r="G46" s="36">
        <f>'Sales-19'!E48</f>
        <v>0</v>
      </c>
      <c r="H46" s="36">
        <f>'Sales-20'!E47</f>
        <v>0</v>
      </c>
      <c r="I46" s="36">
        <f>'Sales-21'!E47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'Sales-15'!E49</f>
        <v>0</v>
      </c>
      <c r="D47" s="36">
        <f>'Sales-16'!E48</f>
        <v>0</v>
      </c>
      <c r="E47" s="36">
        <f>'Sales-17'!E48</f>
        <v>0</v>
      </c>
      <c r="F47" s="36">
        <f>'Sales-18'!E48</f>
        <v>0</v>
      </c>
      <c r="G47" s="36">
        <f>'Sales-19'!E49</f>
        <v>0</v>
      </c>
      <c r="H47" s="36">
        <f>'Sales-20'!E48</f>
        <v>0</v>
      </c>
      <c r="I47" s="36">
        <f>'Sales-21'!E48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'Sales-15'!E50</f>
        <v>400</v>
      </c>
      <c r="D48" s="36">
        <f>'Sales-16'!E49</f>
        <v>200</v>
      </c>
      <c r="E48" s="36">
        <f>'Sales-17'!E49</f>
        <v>600</v>
      </c>
      <c r="F48" s="36">
        <f>'Sales-18'!E49</f>
        <v>0</v>
      </c>
      <c r="G48" s="36">
        <f>'Sales-19'!E50</f>
        <v>400</v>
      </c>
      <c r="H48" s="36">
        <f>'Sales-20'!E49</f>
        <v>500</v>
      </c>
      <c r="I48" s="36">
        <f>'Sales-21'!E49</f>
        <v>200</v>
      </c>
      <c r="J48" s="34">
        <f t="shared" si="0"/>
        <v>2300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'Sales-15'!E51</f>
        <v>400</v>
      </c>
      <c r="D49" s="36">
        <f>'Sales-16'!E50</f>
        <v>400</v>
      </c>
      <c r="E49" s="36">
        <f>'Sales-17'!E50</f>
        <v>800</v>
      </c>
      <c r="F49" s="36">
        <f>'Sales-18'!E50</f>
        <v>0</v>
      </c>
      <c r="G49" s="36">
        <f>'Sales-19'!E51</f>
        <v>200</v>
      </c>
      <c r="H49" s="36">
        <f>'Sales-20'!E50</f>
        <v>200</v>
      </c>
      <c r="I49" s="36">
        <f>'Sales-21'!E50</f>
        <v>200</v>
      </c>
      <c r="J49" s="34">
        <f t="shared" si="0"/>
        <v>2200</v>
      </c>
      <c r="R49"/>
    </row>
    <row r="50" spans="1:18" ht="15" thickBot="1" x14ac:dyDescent="0.35">
      <c r="A50" s="29"/>
      <c r="B50" s="27"/>
      <c r="C50" s="36">
        <f>'Sales-15'!E52</f>
        <v>0</v>
      </c>
      <c r="D50" s="36">
        <f>'Sales-16'!E51</f>
        <v>0</v>
      </c>
      <c r="E50" s="36">
        <f>'Sales-17'!E51</f>
        <v>0</v>
      </c>
      <c r="F50" s="36">
        <f>'Sales-18'!E51</f>
        <v>0</v>
      </c>
      <c r="G50" s="36">
        <f>'Sales-19'!E52</f>
        <v>0</v>
      </c>
      <c r="H50" s="36">
        <f>'Sales-20'!E51</f>
        <v>0</v>
      </c>
      <c r="I50" s="36">
        <f>'Sales-21'!E51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'Sales-15'!E53</f>
        <v>0</v>
      </c>
      <c r="D51" s="36">
        <f>'Sales-16'!E52</f>
        <v>0</v>
      </c>
      <c r="E51" s="36">
        <f>'Sales-17'!E52</f>
        <v>0</v>
      </c>
      <c r="F51" s="36">
        <f>'Sales-18'!E52</f>
        <v>0</v>
      </c>
      <c r="G51" s="36">
        <f>'Sales-19'!E53</f>
        <v>0</v>
      </c>
      <c r="H51" s="36">
        <f>'Sales-20'!E52</f>
        <v>0</v>
      </c>
      <c r="I51" s="36">
        <f>'Sales-21'!E52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'Sales-15'!E54</f>
        <v>9000</v>
      </c>
      <c r="D52" s="36">
        <f>'Sales-16'!E53</f>
        <v>2000</v>
      </c>
      <c r="E52" s="36">
        <f>'Sales-17'!E53</f>
        <v>6500</v>
      </c>
      <c r="F52" s="36">
        <f>'Sales-18'!E53</f>
        <v>2800</v>
      </c>
      <c r="G52" s="36">
        <f>'Sales-19'!E54</f>
        <v>3000</v>
      </c>
      <c r="H52" s="36">
        <f>'Sales-20'!E53</f>
        <v>5600</v>
      </c>
      <c r="I52" s="36">
        <f>'Sales-21'!E53</f>
        <v>10100</v>
      </c>
      <c r="J52" s="34">
        <f t="shared" si="0"/>
        <v>39000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'Sales-15'!E55</f>
        <v>0</v>
      </c>
      <c r="D53" s="36">
        <f>'Sales-16'!E54</f>
        <v>0</v>
      </c>
      <c r="E53" s="36">
        <f>'Sales-17'!E54</f>
        <v>0</v>
      </c>
      <c r="F53" s="36">
        <f>'Sales-18'!E54</f>
        <v>0</v>
      </c>
      <c r="G53" s="36">
        <f>'Sales-19'!E55</f>
        <v>0</v>
      </c>
      <c r="H53" s="36">
        <f>'Sales-20'!E54</f>
        <v>0</v>
      </c>
      <c r="I53" s="36">
        <f>'Sales-21'!E54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'Sales-15'!E56</f>
        <v>0</v>
      </c>
      <c r="D54" s="36">
        <f>'Sales-16'!E55</f>
        <v>0</v>
      </c>
      <c r="E54" s="36">
        <f>'Sales-17'!E55</f>
        <v>0</v>
      </c>
      <c r="F54" s="36">
        <f>'Sales-18'!E55</f>
        <v>0</v>
      </c>
      <c r="G54" s="36">
        <f>'Sales-19'!E56</f>
        <v>0</v>
      </c>
      <c r="H54" s="36">
        <f>'Sales-20'!E55</f>
        <v>0</v>
      </c>
      <c r="I54" s="36">
        <f>'Sales-21'!E55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'Sales-15'!E57</f>
        <v>0</v>
      </c>
      <c r="D55" s="36">
        <f>'Sales-16'!E56</f>
        <v>0</v>
      </c>
      <c r="E55" s="36">
        <f>'Sales-17'!E56</f>
        <v>0</v>
      </c>
      <c r="F55" s="36">
        <f>'Sales-18'!E56</f>
        <v>0</v>
      </c>
      <c r="G55" s="36">
        <f>'Sales-19'!E57</f>
        <v>0</v>
      </c>
      <c r="H55" s="36">
        <f>'Sales-20'!E56</f>
        <v>0</v>
      </c>
      <c r="I55" s="36">
        <f>'Sales-21'!E56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'Sales-15'!E58</f>
        <v>0</v>
      </c>
      <c r="D56" s="36">
        <f>'Sales-16'!E57</f>
        <v>0</v>
      </c>
      <c r="E56" s="36">
        <f>'Sales-17'!E57</f>
        <v>0</v>
      </c>
      <c r="F56" s="36">
        <f>'Sales-18'!E57</f>
        <v>0</v>
      </c>
      <c r="G56" s="36">
        <f>'Sales-19'!E58</f>
        <v>1000</v>
      </c>
      <c r="H56" s="36">
        <f>'Sales-20'!E57</f>
        <v>0</v>
      </c>
      <c r="I56" s="36">
        <f>'Sales-21'!E57</f>
        <v>0</v>
      </c>
      <c r="J56" s="34">
        <f t="shared" si="0"/>
        <v>1000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'Sales-15'!E59</f>
        <v>0</v>
      </c>
      <c r="D57" s="36">
        <f>'Sales-16'!E58</f>
        <v>400</v>
      </c>
      <c r="E57" s="36">
        <f>'Sales-17'!E58</f>
        <v>0</v>
      </c>
      <c r="F57" s="36">
        <f>'Sales-18'!E58</f>
        <v>1600</v>
      </c>
      <c r="G57" s="36">
        <f>'Sales-19'!E59</f>
        <v>0</v>
      </c>
      <c r="H57" s="36">
        <f>'Sales-20'!E58</f>
        <v>0</v>
      </c>
      <c r="I57" s="36">
        <f>'Sales-21'!E58</f>
        <v>1000</v>
      </c>
      <c r="J57" s="34">
        <f t="shared" si="0"/>
        <v>3000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'Sales-15'!E60</f>
        <v>3000</v>
      </c>
      <c r="D58" s="36">
        <f>'Sales-16'!E59</f>
        <v>0</v>
      </c>
      <c r="E58" s="36">
        <f>'Sales-17'!E59</f>
        <v>6000</v>
      </c>
      <c r="F58" s="36">
        <f>'Sales-18'!E59</f>
        <v>0</v>
      </c>
      <c r="G58" s="36">
        <f>'Sales-19'!E60</f>
        <v>3200</v>
      </c>
      <c r="H58" s="36">
        <f>'Sales-20'!E59</f>
        <v>0</v>
      </c>
      <c r="I58" s="36">
        <f>'Sales-21'!E59</f>
        <v>0</v>
      </c>
      <c r="J58" s="34">
        <f t="shared" si="0"/>
        <v>12200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'Sales-15'!E61</f>
        <v>0</v>
      </c>
      <c r="D59" s="36">
        <f>'Sales-16'!E60</f>
        <v>800</v>
      </c>
      <c r="E59" s="36">
        <f>'Sales-17'!E60</f>
        <v>500</v>
      </c>
      <c r="F59" s="36">
        <f>'Sales-18'!E60</f>
        <v>0</v>
      </c>
      <c r="G59" s="36">
        <f>'Sales-19'!E61</f>
        <v>500</v>
      </c>
      <c r="H59" s="36">
        <f>'Sales-20'!E60</f>
        <v>500</v>
      </c>
      <c r="I59" s="36">
        <f>'Sales-21'!E60</f>
        <v>2000</v>
      </c>
      <c r="J59" s="34">
        <f t="shared" si="0"/>
        <v>4300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'Sales-15'!E62</f>
        <v>0</v>
      </c>
      <c r="D60" s="36">
        <f>'Sales-16'!E61</f>
        <v>0</v>
      </c>
      <c r="E60" s="36">
        <f>'Sales-17'!E61</f>
        <v>0</v>
      </c>
      <c r="F60" s="36">
        <f>'Sales-18'!E61</f>
        <v>0</v>
      </c>
      <c r="G60" s="36">
        <f>'Sales-19'!E62</f>
        <v>0</v>
      </c>
      <c r="H60" s="36">
        <f>'Sales-20'!E61</f>
        <v>0</v>
      </c>
      <c r="I60" s="36">
        <f>'Sales-21'!E61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'Sales-15'!E63</f>
        <v>2400</v>
      </c>
      <c r="D61" s="36">
        <f>'Sales-16'!E62</f>
        <v>0</v>
      </c>
      <c r="E61" s="36">
        <f>'Sales-17'!E62</f>
        <v>0</v>
      </c>
      <c r="F61" s="36">
        <f>'Sales-18'!E62</f>
        <v>0</v>
      </c>
      <c r="G61" s="36">
        <f>'Sales-19'!E63</f>
        <v>0</v>
      </c>
      <c r="H61" s="36">
        <f>'Sales-20'!E62</f>
        <v>0</v>
      </c>
      <c r="I61" s="36">
        <f>'Sales-21'!E62</f>
        <v>1200</v>
      </c>
      <c r="J61" s="34">
        <f t="shared" si="0"/>
        <v>3600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'Sales-15'!E64</f>
        <v>0</v>
      </c>
      <c r="D62" s="36">
        <f>'Sales-16'!E63</f>
        <v>0</v>
      </c>
      <c r="E62" s="36">
        <f>'Sales-17'!E63</f>
        <v>0</v>
      </c>
      <c r="F62" s="36">
        <f>'Sales-18'!E63</f>
        <v>0</v>
      </c>
      <c r="G62" s="36">
        <f>'Sales-19'!E64</f>
        <v>0</v>
      </c>
      <c r="H62" s="36">
        <f>'Sales-20'!E63</f>
        <v>0</v>
      </c>
      <c r="I62" s="36">
        <f>'Sales-21'!E63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'Sales-15'!E65</f>
        <v>0</v>
      </c>
      <c r="D63" s="36">
        <f>'Sales-16'!E64</f>
        <v>0</v>
      </c>
      <c r="E63" s="36">
        <f>'Sales-17'!E64</f>
        <v>0</v>
      </c>
      <c r="F63" s="36">
        <f>'Sales-18'!E64</f>
        <v>0</v>
      </c>
      <c r="G63" s="36">
        <f>'Sales-19'!E65</f>
        <v>0</v>
      </c>
      <c r="H63" s="36">
        <f>'Sales-20'!E64</f>
        <v>0</v>
      </c>
      <c r="I63" s="36">
        <f>'Sales-21'!E64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'Sales-15'!E66</f>
        <v>1200</v>
      </c>
      <c r="D64" s="36">
        <f>'Sales-16'!E65</f>
        <v>0</v>
      </c>
      <c r="E64" s="36">
        <f>'Sales-17'!E65</f>
        <v>0</v>
      </c>
      <c r="F64" s="36">
        <f>'Sales-18'!E65</f>
        <v>0</v>
      </c>
      <c r="G64" s="36">
        <f>'Sales-19'!E66</f>
        <v>0</v>
      </c>
      <c r="H64" s="36">
        <f>'Sales-20'!E65</f>
        <v>1000</v>
      </c>
      <c r="I64" s="36">
        <f>'Sales-21'!E65</f>
        <v>0</v>
      </c>
      <c r="J64" s="34">
        <f t="shared" si="0"/>
        <v>2200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'Sales-15'!E67</f>
        <v>0</v>
      </c>
      <c r="D65" s="36">
        <f>'Sales-16'!E66</f>
        <v>0</v>
      </c>
      <c r="E65" s="36">
        <f>'Sales-17'!E66</f>
        <v>2000</v>
      </c>
      <c r="F65" s="36">
        <f>'Sales-18'!E66</f>
        <v>0</v>
      </c>
      <c r="G65" s="36">
        <f>'Sales-19'!E67</f>
        <v>0</v>
      </c>
      <c r="H65" s="36">
        <f>'Sales-20'!E66</f>
        <v>4000</v>
      </c>
      <c r="I65" s="36">
        <f>'Sales-21'!E66</f>
        <v>0</v>
      </c>
      <c r="J65" s="34">
        <f t="shared" si="0"/>
        <v>6000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'Sales-15'!E68</f>
        <v>0</v>
      </c>
      <c r="D66" s="36">
        <f>'Sales-16'!E67</f>
        <v>0</v>
      </c>
      <c r="E66" s="36">
        <f>'Sales-17'!E67</f>
        <v>1300</v>
      </c>
      <c r="F66" s="36">
        <f>'Sales-18'!E67</f>
        <v>0</v>
      </c>
      <c r="G66" s="36">
        <f>'Sales-19'!E68</f>
        <v>2600</v>
      </c>
      <c r="H66" s="36">
        <f>'Sales-20'!E67</f>
        <v>0</v>
      </c>
      <c r="I66" s="36">
        <f>'Sales-21'!E67</f>
        <v>0</v>
      </c>
      <c r="J66" s="34">
        <f t="shared" si="0"/>
        <v>3900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'Sales-15'!E69</f>
        <v>0</v>
      </c>
      <c r="D67" s="36">
        <f>'Sales-16'!E68</f>
        <v>0</v>
      </c>
      <c r="E67" s="36">
        <f>'Sales-17'!E68</f>
        <v>0</v>
      </c>
      <c r="F67" s="36">
        <f>'Sales-18'!E68</f>
        <v>0</v>
      </c>
      <c r="G67" s="36">
        <f>'Sales-19'!E69</f>
        <v>0</v>
      </c>
      <c r="H67" s="36">
        <f>'Sales-20'!E68</f>
        <v>0</v>
      </c>
      <c r="I67" s="36">
        <f>'Sales-21'!E68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'Sales-15'!E70</f>
        <v>0</v>
      </c>
      <c r="D68" s="36">
        <f>'Sales-16'!E69</f>
        <v>0</v>
      </c>
      <c r="E68" s="36">
        <f>'Sales-17'!E69</f>
        <v>0</v>
      </c>
      <c r="F68" s="36">
        <f>'Sales-18'!E69</f>
        <v>0</v>
      </c>
      <c r="G68" s="36">
        <f>'Sales-19'!E70</f>
        <v>0</v>
      </c>
      <c r="H68" s="36">
        <f>'Sales-20'!E69</f>
        <v>0</v>
      </c>
      <c r="I68" s="36">
        <f>'Sales-21'!E69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'Sales-15'!E71</f>
        <v>1000</v>
      </c>
      <c r="D69" s="36">
        <f>'Sales-16'!E70</f>
        <v>0</v>
      </c>
      <c r="E69" s="36">
        <f>'Sales-17'!E70</f>
        <v>3500</v>
      </c>
      <c r="F69" s="36">
        <f>'Sales-18'!E70</f>
        <v>1000</v>
      </c>
      <c r="G69" s="36">
        <f>'Sales-19'!E71</f>
        <v>0</v>
      </c>
      <c r="H69" s="36">
        <f>'Sales-20'!E70</f>
        <v>0</v>
      </c>
      <c r="I69" s="36">
        <f>'Sales-21'!E70</f>
        <v>2000</v>
      </c>
      <c r="J69" s="34">
        <f t="shared" si="1"/>
        <v>7500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'Sales-15'!E72</f>
        <v>0</v>
      </c>
      <c r="D70" s="36">
        <f>'Sales-16'!E71</f>
        <v>0</v>
      </c>
      <c r="E70" s="36">
        <f>'Sales-17'!E71</f>
        <v>500</v>
      </c>
      <c r="F70" s="36">
        <f>'Sales-18'!E71</f>
        <v>0</v>
      </c>
      <c r="G70" s="36">
        <f>'Sales-19'!E72</f>
        <v>500</v>
      </c>
      <c r="H70" s="36">
        <f>'Sales-20'!E71</f>
        <v>0</v>
      </c>
      <c r="I70" s="36">
        <f>'Sales-21'!E71</f>
        <v>0</v>
      </c>
      <c r="J70" s="34">
        <f t="shared" si="1"/>
        <v>1000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'Sales-15'!E73</f>
        <v>0</v>
      </c>
      <c r="D71" s="36">
        <f>'Sales-16'!E72</f>
        <v>0</v>
      </c>
      <c r="E71" s="36">
        <f>'Sales-17'!E72</f>
        <v>0</v>
      </c>
      <c r="F71" s="36">
        <f>'Sales-18'!E72</f>
        <v>0</v>
      </c>
      <c r="G71" s="36">
        <f>'Sales-19'!E73</f>
        <v>0</v>
      </c>
      <c r="H71" s="36">
        <f>'Sales-20'!E72</f>
        <v>0</v>
      </c>
      <c r="I71" s="36">
        <f>'Sales-21'!E72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'Sales-15'!E74</f>
        <v>0</v>
      </c>
      <c r="D72" s="36">
        <f>'Sales-16'!E73</f>
        <v>0</v>
      </c>
      <c r="E72" s="36">
        <f>'Sales-17'!E73</f>
        <v>0</v>
      </c>
      <c r="F72" s="36">
        <f>'Sales-18'!E73</f>
        <v>0</v>
      </c>
      <c r="G72" s="36">
        <f>'Sales-19'!E74</f>
        <v>0</v>
      </c>
      <c r="H72" s="36">
        <f>'Sales-20'!E73</f>
        <v>0</v>
      </c>
      <c r="I72" s="36">
        <f>'Sales-21'!E73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'Sales-15'!E75</f>
        <v>0</v>
      </c>
      <c r="D73" s="36">
        <f>'Sales-16'!E74</f>
        <v>0</v>
      </c>
      <c r="E73" s="36">
        <f>'Sales-17'!E74</f>
        <v>0</v>
      </c>
      <c r="F73" s="36">
        <f>'Sales-18'!E74</f>
        <v>0</v>
      </c>
      <c r="G73" s="36">
        <f>'Sales-19'!E75</f>
        <v>0</v>
      </c>
      <c r="H73" s="36">
        <f>'Sales-20'!E74</f>
        <v>0</v>
      </c>
      <c r="I73" s="36">
        <f>'Sales-21'!E74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'Sales-15'!E76</f>
        <v>0</v>
      </c>
      <c r="D74" s="36">
        <f>'Sales-16'!E75</f>
        <v>0</v>
      </c>
      <c r="E74" s="36">
        <f>'Sales-17'!E75</f>
        <v>0</v>
      </c>
      <c r="F74" s="36">
        <f>'Sales-18'!E75</f>
        <v>0</v>
      </c>
      <c r="G74" s="36">
        <f>'Sales-19'!E76</f>
        <v>0</v>
      </c>
      <c r="H74" s="36">
        <f>'Sales-20'!E75</f>
        <v>0</v>
      </c>
      <c r="I74" s="36">
        <f>'Sales-21'!E75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'Sales-15'!E77</f>
        <v>0</v>
      </c>
      <c r="D75" s="36">
        <f>'Sales-16'!E76</f>
        <v>0</v>
      </c>
      <c r="E75" s="36">
        <f>'Sales-17'!E76</f>
        <v>0</v>
      </c>
      <c r="F75" s="36">
        <f>'Sales-18'!E76</f>
        <v>0</v>
      </c>
      <c r="G75" s="36">
        <f>'Sales-19'!E77</f>
        <v>0</v>
      </c>
      <c r="H75" s="36">
        <f>'Sales-20'!E76</f>
        <v>0</v>
      </c>
      <c r="I75" s="36">
        <f>'Sales-21'!E76</f>
        <v>0</v>
      </c>
      <c r="J75" s="34">
        <f t="shared" si="1"/>
        <v>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'Sales-15'!E78</f>
        <v>0</v>
      </c>
      <c r="D76" s="36">
        <f>'Sales-16'!E77</f>
        <v>0</v>
      </c>
      <c r="E76" s="36">
        <f>'Sales-17'!E77</f>
        <v>0</v>
      </c>
      <c r="F76" s="36">
        <f>'Sales-18'!E77</f>
        <v>0</v>
      </c>
      <c r="G76" s="36">
        <f>'Sales-19'!E78</f>
        <v>0</v>
      </c>
      <c r="H76" s="36">
        <f>'Sales-20'!E77</f>
        <v>0</v>
      </c>
      <c r="I76" s="36">
        <f>'Sales-21'!E77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'Sales-15'!E79</f>
        <v>0</v>
      </c>
      <c r="D77" s="36">
        <f>'Sales-16'!E78</f>
        <v>0</v>
      </c>
      <c r="E77" s="36">
        <f>'Sales-17'!E78</f>
        <v>0</v>
      </c>
      <c r="F77" s="36">
        <f>'Sales-18'!E78</f>
        <v>0</v>
      </c>
      <c r="G77" s="36">
        <f>'Sales-19'!E79</f>
        <v>0</v>
      </c>
      <c r="H77" s="36">
        <f>'Sales-20'!E78</f>
        <v>0</v>
      </c>
      <c r="I77" s="36">
        <f>'Sales-21'!E78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'Sales-15'!E80</f>
        <v>0</v>
      </c>
      <c r="D78" s="36">
        <f>'Sales-16'!E79</f>
        <v>0</v>
      </c>
      <c r="E78" s="36">
        <f>'Sales-17'!E79</f>
        <v>0</v>
      </c>
      <c r="F78" s="36">
        <f>'Sales-18'!E79</f>
        <v>0</v>
      </c>
      <c r="G78" s="36">
        <f>'Sales-19'!E80</f>
        <v>0</v>
      </c>
      <c r="H78" s="36">
        <f>'Sales-20'!E79</f>
        <v>0</v>
      </c>
      <c r="I78" s="36">
        <f>'Sales-21'!E79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'Sales-15'!E81</f>
        <v>0</v>
      </c>
      <c r="D79" s="36">
        <f>'Sales-16'!E80</f>
        <v>0</v>
      </c>
      <c r="E79" s="36">
        <f>'Sales-17'!E80</f>
        <v>0</v>
      </c>
      <c r="F79" s="36">
        <f>'Sales-18'!E80</f>
        <v>0</v>
      </c>
      <c r="G79" s="36">
        <f>'Sales-19'!E81</f>
        <v>0</v>
      </c>
      <c r="H79" s="36">
        <f>'Sales-20'!E80</f>
        <v>0</v>
      </c>
      <c r="I79" s="36">
        <f>'Sales-21'!E80</f>
        <v>0</v>
      </c>
      <c r="J79" s="34">
        <f t="shared" si="1"/>
        <v>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53200</v>
      </c>
      <c r="D83" s="41">
        <f t="shared" ref="D83:I83" si="2">SUM(D3:D82)</f>
        <v>47500</v>
      </c>
      <c r="E83" s="41">
        <f t="shared" si="2"/>
        <v>44750</v>
      </c>
      <c r="F83" s="41">
        <f t="shared" si="2"/>
        <v>22900</v>
      </c>
      <c r="G83" s="41">
        <f t="shared" si="2"/>
        <v>39850</v>
      </c>
      <c r="H83" s="41">
        <f t="shared" si="2"/>
        <v>44600</v>
      </c>
      <c r="I83" s="41">
        <f t="shared" si="2"/>
        <v>75850</v>
      </c>
      <c r="J83" s="34">
        <f t="shared" si="1"/>
        <v>328650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4"/>
  <sheetViews>
    <sheetView topLeftCell="B38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8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101</v>
      </c>
      <c r="C6" s="12">
        <v>800</v>
      </c>
      <c r="D6">
        <v>2</v>
      </c>
      <c r="E6" s="13">
        <f t="shared" si="0"/>
        <v>1600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1</v>
      </c>
      <c r="E10" s="13">
        <f t="shared" si="0"/>
        <v>700</v>
      </c>
    </row>
    <row r="11" spans="1:10" x14ac:dyDescent="0.3">
      <c r="A11" s="11" t="s">
        <v>8</v>
      </c>
      <c r="B11" t="s">
        <v>18</v>
      </c>
      <c r="C11" s="12">
        <v>400</v>
      </c>
      <c r="D11">
        <v>1</v>
      </c>
      <c r="E11" s="13">
        <f t="shared" si="0"/>
        <v>400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400</v>
      </c>
      <c r="D16">
        <v>5</v>
      </c>
      <c r="E16" s="13">
        <f t="shared" si="0"/>
        <v>2000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2</v>
      </c>
      <c r="E18" s="13">
        <f t="shared" si="0"/>
        <v>800</v>
      </c>
    </row>
    <row r="19" spans="1:5" x14ac:dyDescent="0.3">
      <c r="A19" s="11" t="s">
        <v>30</v>
      </c>
      <c r="B19" t="s">
        <v>31</v>
      </c>
      <c r="C19" s="12">
        <v>500</v>
      </c>
      <c r="D19">
        <v>6</v>
      </c>
      <c r="E19" s="13">
        <f t="shared" si="0"/>
        <v>3000</v>
      </c>
    </row>
    <row r="20" spans="1:5" x14ac:dyDescent="0.3">
      <c r="A20" s="11" t="s">
        <v>32</v>
      </c>
      <c r="B20" t="s">
        <v>33</v>
      </c>
      <c r="C20" s="12">
        <v>200</v>
      </c>
      <c r="D20">
        <v>10</v>
      </c>
      <c r="E20" s="13">
        <f t="shared" si="0"/>
        <v>2000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>
        <v>1</v>
      </c>
      <c r="E22" s="13">
        <f t="shared" si="0"/>
        <v>300</v>
      </c>
    </row>
    <row r="23" spans="1:5" x14ac:dyDescent="0.3">
      <c r="A23" s="11" t="s">
        <v>68</v>
      </c>
      <c r="B23" t="s">
        <v>92</v>
      </c>
      <c r="C23" s="12">
        <v>400</v>
      </c>
      <c r="D23">
        <v>1</v>
      </c>
      <c r="E23" s="13">
        <f t="shared" si="0"/>
        <v>400</v>
      </c>
    </row>
    <row r="24" spans="1:5" x14ac:dyDescent="0.3">
      <c r="A24" s="11" t="s">
        <v>70</v>
      </c>
      <c r="B24" t="s">
        <v>94</v>
      </c>
      <c r="C24" s="12">
        <v>600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79</v>
      </c>
      <c r="B26" t="s">
        <v>100</v>
      </c>
      <c r="C26" s="12">
        <v>1500</v>
      </c>
      <c r="D26">
        <v>1</v>
      </c>
      <c r="E26" s="13">
        <f t="shared" si="0"/>
        <v>1500</v>
      </c>
    </row>
    <row r="27" spans="1:5" x14ac:dyDescent="0.3">
      <c r="A27" s="11" t="s">
        <v>85</v>
      </c>
      <c r="B27" t="s">
        <v>102</v>
      </c>
      <c r="C27" s="12">
        <v>1500</v>
      </c>
      <c r="D27">
        <v>2</v>
      </c>
      <c r="E27" s="13">
        <f t="shared" si="0"/>
        <v>3000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138</v>
      </c>
      <c r="E30" s="13">
        <f t="shared" si="0"/>
        <v>13800</v>
      </c>
    </row>
    <row r="31" spans="1:5" x14ac:dyDescent="0.3">
      <c r="A31" s="11" t="s">
        <v>8</v>
      </c>
      <c r="B31" t="s">
        <v>38</v>
      </c>
      <c r="C31" s="12">
        <v>200</v>
      </c>
      <c r="D31">
        <v>15</v>
      </c>
      <c r="E31" s="13">
        <f t="shared" si="0"/>
        <v>3000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3000</v>
      </c>
      <c r="D34">
        <v>1</v>
      </c>
      <c r="E34" s="13">
        <f t="shared" si="0"/>
        <v>3000</v>
      </c>
    </row>
    <row r="35" spans="1:10" x14ac:dyDescent="0.3">
      <c r="A35" s="11" t="s">
        <v>22</v>
      </c>
      <c r="B35" t="s">
        <v>42</v>
      </c>
      <c r="C35" s="12">
        <v>500</v>
      </c>
      <c r="D35">
        <v>4</v>
      </c>
      <c r="E35" s="13">
        <f t="shared" si="0"/>
        <v>2000</v>
      </c>
      <c r="J35" s="32"/>
    </row>
    <row r="36" spans="1:10" x14ac:dyDescent="0.3">
      <c r="A36" s="11" t="s">
        <v>24</v>
      </c>
      <c r="B36" t="s">
        <v>83</v>
      </c>
      <c r="C36" s="12">
        <v>1000</v>
      </c>
      <c r="D36"/>
      <c r="E36" s="13">
        <f t="shared" si="0"/>
        <v>0</v>
      </c>
    </row>
    <row r="37" spans="1:10" x14ac:dyDescent="0.3">
      <c r="A37" s="11" t="s">
        <v>26</v>
      </c>
      <c r="B37" t="s">
        <v>43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4</v>
      </c>
      <c r="E43" s="13">
        <f t="shared" si="0"/>
        <v>2800</v>
      </c>
    </row>
    <row r="44" spans="1:10" x14ac:dyDescent="0.3">
      <c r="A44" s="11" t="s">
        <v>8</v>
      </c>
      <c r="B44" t="s">
        <v>46</v>
      </c>
      <c r="C44" s="12">
        <f>2150/12</f>
        <v>179.16666666666666</v>
      </c>
      <c r="D44"/>
      <c r="E44" s="13">
        <f t="shared" si="0"/>
        <v>0</v>
      </c>
    </row>
    <row r="45" spans="1:10" x14ac:dyDescent="0.3">
      <c r="A45" s="11" t="s">
        <v>10</v>
      </c>
      <c r="B45" t="s">
        <v>47</v>
      </c>
      <c r="C45" s="12"/>
      <c r="D45"/>
      <c r="E45" s="13">
        <f t="shared" si="0"/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 t="shared" si="0"/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si="0"/>
        <v>0</v>
      </c>
    </row>
    <row r="48" spans="1:10" x14ac:dyDescent="0.3">
      <c r="C48" s="12"/>
      <c r="D48"/>
      <c r="E48" s="13">
        <f t="shared" si="0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0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4</v>
      </c>
      <c r="E50" s="13">
        <f t="shared" si="0"/>
        <v>400</v>
      </c>
    </row>
    <row r="51" spans="1:5" x14ac:dyDescent="0.3">
      <c r="A51" s="11" t="s">
        <v>8</v>
      </c>
      <c r="B51" t="s">
        <v>52</v>
      </c>
      <c r="C51" s="12">
        <v>200</v>
      </c>
      <c r="D51">
        <v>2</v>
      </c>
      <c r="E51" s="13">
        <f t="shared" si="0"/>
        <v>400</v>
      </c>
    </row>
    <row r="52" spans="1:5" x14ac:dyDescent="0.3">
      <c r="A52" s="11"/>
      <c r="C52" s="12"/>
      <c r="D52"/>
      <c r="E52" s="13">
        <f t="shared" si="0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0"/>
        <v>0</v>
      </c>
    </row>
    <row r="54" spans="1:5" x14ac:dyDescent="0.3">
      <c r="A54" s="11" t="s">
        <v>6</v>
      </c>
      <c r="B54" s="14" t="s">
        <v>54</v>
      </c>
      <c r="C54" s="12">
        <v>9000</v>
      </c>
      <c r="D54">
        <v>1</v>
      </c>
      <c r="E54" s="13">
        <f t="shared" si="0"/>
        <v>9000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0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0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0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0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0"/>
        <v>0</v>
      </c>
    </row>
    <row r="60" spans="1:5" x14ac:dyDescent="0.3">
      <c r="A60" s="11" t="s">
        <v>24</v>
      </c>
      <c r="B60" s="14" t="s">
        <v>60</v>
      </c>
      <c r="C60">
        <v>1500</v>
      </c>
      <c r="D60">
        <v>2</v>
      </c>
      <c r="E60" s="13">
        <f t="shared" si="0"/>
        <v>3000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0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0"/>
        <v>0</v>
      </c>
    </row>
    <row r="63" spans="1:5" x14ac:dyDescent="0.3">
      <c r="A63" s="11" t="s">
        <v>30</v>
      </c>
      <c r="B63" s="14" t="s">
        <v>63</v>
      </c>
      <c r="C63" s="12">
        <v>800</v>
      </c>
      <c r="D63">
        <v>3</v>
      </c>
      <c r="E63" s="13">
        <f t="shared" si="0"/>
        <v>2400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0"/>
        <v>0</v>
      </c>
    </row>
    <row r="65" spans="1:13" x14ac:dyDescent="0.3">
      <c r="A65" s="11" t="s">
        <v>34</v>
      </c>
      <c r="B65" s="14" t="s">
        <v>65</v>
      </c>
      <c r="C65" s="12">
        <v>300</v>
      </c>
      <c r="D65"/>
      <c r="E65" s="13">
        <f t="shared" si="0"/>
        <v>0</v>
      </c>
    </row>
    <row r="66" spans="1:13" x14ac:dyDescent="0.3">
      <c r="A66" s="11" t="s">
        <v>66</v>
      </c>
      <c r="B66" s="14" t="s">
        <v>67</v>
      </c>
      <c r="C66" s="12">
        <v>400</v>
      </c>
      <c r="D66">
        <v>3</v>
      </c>
      <c r="E66" s="13">
        <f t="shared" si="0"/>
        <v>1200</v>
      </c>
    </row>
    <row r="67" spans="1:13" x14ac:dyDescent="0.3">
      <c r="A67" s="11" t="s">
        <v>68</v>
      </c>
      <c r="B67" s="14" t="s">
        <v>69</v>
      </c>
      <c r="C67" s="12">
        <v>600</v>
      </c>
      <c r="D67"/>
      <c r="E67" s="13">
        <f t="shared" si="0"/>
        <v>0</v>
      </c>
    </row>
    <row r="68" spans="1:13" x14ac:dyDescent="0.3">
      <c r="A68" s="11" t="s">
        <v>70</v>
      </c>
      <c r="B68" s="14" t="s">
        <v>71</v>
      </c>
      <c r="C68" s="12">
        <v>1500</v>
      </c>
      <c r="D68"/>
      <c r="E68" s="13">
        <f t="shared" si="0"/>
        <v>0</v>
      </c>
    </row>
    <row r="69" spans="1:13" x14ac:dyDescent="0.3">
      <c r="A69" s="11" t="s">
        <v>72</v>
      </c>
      <c r="B69" s="14" t="s">
        <v>73</v>
      </c>
      <c r="C69" s="12">
        <v>1000</v>
      </c>
      <c r="D69"/>
      <c r="E69" s="13">
        <f t="shared" si="0"/>
        <v>0</v>
      </c>
    </row>
    <row r="70" spans="1:13" x14ac:dyDescent="0.3">
      <c r="A70" s="11" t="s">
        <v>74</v>
      </c>
      <c r="B70" s="14" t="s">
        <v>75</v>
      </c>
      <c r="C70" s="12">
        <v>2000</v>
      </c>
      <c r="D70"/>
      <c r="E70" s="13">
        <f t="shared" si="0"/>
        <v>0</v>
      </c>
    </row>
    <row r="71" spans="1:13" x14ac:dyDescent="0.3">
      <c r="A71" s="11" t="s">
        <v>79</v>
      </c>
      <c r="B71" s="14" t="s">
        <v>84</v>
      </c>
      <c r="C71" s="12">
        <v>500</v>
      </c>
      <c r="D71">
        <v>2</v>
      </c>
      <c r="E71" s="13">
        <f t="shared" si="0"/>
        <v>1000</v>
      </c>
      <c r="M71"/>
    </row>
    <row r="72" spans="1:13" x14ac:dyDescent="0.3">
      <c r="A72" s="11" t="s">
        <v>85</v>
      </c>
      <c r="B72" s="14" t="s">
        <v>86</v>
      </c>
      <c r="C72" s="12">
        <v>300</v>
      </c>
      <c r="D72"/>
      <c r="E72" s="13">
        <f t="shared" si="0"/>
        <v>0</v>
      </c>
      <c r="M72"/>
    </row>
    <row r="73" spans="1:13" x14ac:dyDescent="0.3">
      <c r="A73" s="11" t="s">
        <v>87</v>
      </c>
      <c r="B73" s="14" t="s">
        <v>88</v>
      </c>
      <c r="C73" s="12">
        <v>500</v>
      </c>
      <c r="D73"/>
      <c r="E73" s="13">
        <f t="shared" si="0"/>
        <v>0</v>
      </c>
      <c r="M73"/>
    </row>
    <row r="74" spans="1:13" x14ac:dyDescent="0.3">
      <c r="A74" s="11" t="s">
        <v>98</v>
      </c>
      <c r="B74" s="14" t="s">
        <v>99</v>
      </c>
      <c r="C74" s="12">
        <v>800</v>
      </c>
      <c r="D74"/>
      <c r="M74"/>
    </row>
    <row r="75" spans="1:13" x14ac:dyDescent="0.3">
      <c r="C75" s="12"/>
      <c r="D75"/>
      <c r="E75" s="13">
        <f t="shared" si="0"/>
        <v>0</v>
      </c>
      <c r="M75"/>
    </row>
    <row r="76" spans="1:13" x14ac:dyDescent="0.3">
      <c r="A76" s="15">
        <v>7</v>
      </c>
      <c r="B76" s="7" t="s">
        <v>76</v>
      </c>
      <c r="C76" s="9"/>
      <c r="D76" s="8"/>
      <c r="E76" s="10">
        <f t="shared" si="0"/>
        <v>0</v>
      </c>
      <c r="M76"/>
    </row>
    <row r="77" spans="1:13" x14ac:dyDescent="0.3">
      <c r="A77" s="11" t="s">
        <v>6</v>
      </c>
      <c r="B77" s="14" t="s">
        <v>77</v>
      </c>
      <c r="C77" s="12"/>
      <c r="D77"/>
      <c r="E77" s="13">
        <f t="shared" si="0"/>
        <v>0</v>
      </c>
      <c r="M77"/>
    </row>
    <row r="78" spans="1:13" x14ac:dyDescent="0.3">
      <c r="A78" s="11" t="s">
        <v>8</v>
      </c>
      <c r="B78" s="14" t="s">
        <v>78</v>
      </c>
      <c r="C78" s="12">
        <v>2000</v>
      </c>
      <c r="D78"/>
      <c r="E78" s="13">
        <f t="shared" si="0"/>
        <v>0</v>
      </c>
      <c r="M78"/>
    </row>
    <row r="79" spans="1:13" x14ac:dyDescent="0.3">
      <c r="A79" s="11"/>
      <c r="B79" s="14"/>
      <c r="C79" s="12"/>
      <c r="D79"/>
      <c r="M79"/>
    </row>
    <row r="80" spans="1:13" x14ac:dyDescent="0.3">
      <c r="A80" s="15">
        <v>8</v>
      </c>
      <c r="B80" s="7" t="s">
        <v>96</v>
      </c>
      <c r="C80" s="9"/>
      <c r="D80" s="8"/>
      <c r="E80" s="10">
        <f t="shared" ref="E80:E81" si="1">D80*C80</f>
        <v>0</v>
      </c>
      <c r="M80"/>
    </row>
    <row r="81" spans="1:13" x14ac:dyDescent="0.3">
      <c r="A81" s="47" t="s">
        <v>6</v>
      </c>
      <c r="B81" s="14" t="s">
        <v>97</v>
      </c>
      <c r="C81">
        <v>100</v>
      </c>
      <c r="E81" s="13">
        <f t="shared" si="1"/>
        <v>0</v>
      </c>
      <c r="M81"/>
    </row>
    <row r="82" spans="1:13" x14ac:dyDescent="0.3">
      <c r="M82"/>
    </row>
    <row r="83" spans="1:13" x14ac:dyDescent="0.3">
      <c r="B83" t="s">
        <v>80</v>
      </c>
      <c r="E83" s="13">
        <f>SUM(E2:E82)</f>
        <v>57700</v>
      </c>
    </row>
    <row r="84" spans="1:13" x14ac:dyDescent="0.3">
      <c r="M8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2"/>
  <sheetViews>
    <sheetView topLeftCell="A35" zoomScale="99" workbookViewId="0">
      <selection activeCell="C50" sqref="C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5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800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1000</v>
      </c>
      <c r="D6" s="28">
        <v>2</v>
      </c>
      <c r="E6" s="39">
        <f t="shared" si="0"/>
        <v>2000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v>400</v>
      </c>
      <c r="D10" s="27"/>
      <c r="E10" s="39">
        <f t="shared" si="0"/>
        <v>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>
        <v>4</v>
      </c>
      <c r="E14" s="39">
        <f t="shared" si="0"/>
        <v>6000</v>
      </c>
    </row>
    <row r="15" spans="1:10" ht="15" thickBot="1" x14ac:dyDescent="0.35">
      <c r="A15" s="26" t="s">
        <v>22</v>
      </c>
      <c r="B15" s="27" t="s">
        <v>23</v>
      </c>
      <c r="C15" s="28">
        <v>500</v>
      </c>
      <c r="D15" s="28">
        <v>1</v>
      </c>
      <c r="E15" s="39">
        <f t="shared" si="0"/>
        <v>500</v>
      </c>
    </row>
    <row r="16" spans="1:10" ht="15" thickBot="1" x14ac:dyDescent="0.35">
      <c r="A16" s="26" t="s">
        <v>24</v>
      </c>
      <c r="B16" s="27" t="s">
        <v>25</v>
      </c>
      <c r="C16" s="28">
        <v>400</v>
      </c>
      <c r="D16" s="28">
        <v>4</v>
      </c>
      <c r="E16" s="39">
        <f t="shared" si="0"/>
        <v>1600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v>400</v>
      </c>
      <c r="D18" s="28">
        <v>1</v>
      </c>
      <c r="E18" s="39">
        <f t="shared" si="0"/>
        <v>400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v>200</v>
      </c>
      <c r="D20" s="28">
        <v>6</v>
      </c>
      <c r="E20" s="39">
        <f t="shared" si="0"/>
        <v>1200</v>
      </c>
    </row>
    <row r="21" spans="1:5" ht="15" thickBot="1" x14ac:dyDescent="0.35">
      <c r="A21" s="26" t="s">
        <v>34</v>
      </c>
      <c r="B21" s="27" t="s">
        <v>35</v>
      </c>
      <c r="C21" s="28">
        <v>400</v>
      </c>
      <c r="D21" s="28"/>
      <c r="E21" s="39">
        <f t="shared" si="0"/>
        <v>0</v>
      </c>
    </row>
    <row r="22" spans="1:5" ht="15" thickBot="1" x14ac:dyDescent="0.35">
      <c r="A22" s="26" t="s">
        <v>66</v>
      </c>
      <c r="B22" t="s">
        <v>91</v>
      </c>
      <c r="C22" s="28">
        <v>300</v>
      </c>
      <c r="D22" s="28"/>
      <c r="E22" s="39">
        <f t="shared" si="0"/>
        <v>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v>600</v>
      </c>
      <c r="D24" s="28"/>
      <c r="E24" s="39">
        <f t="shared" si="0"/>
        <v>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6" t="s">
        <v>74</v>
      </c>
      <c r="B26" t="s">
        <v>102</v>
      </c>
      <c r="C26" s="28">
        <v>1500</v>
      </c>
      <c r="D26" s="28">
        <v>1</v>
      </c>
      <c r="E26" s="39">
        <f t="shared" si="0"/>
        <v>1500</v>
      </c>
    </row>
    <row r="27" spans="1:5" ht="15" thickBot="1" x14ac:dyDescent="0.35">
      <c r="A27" s="29"/>
      <c r="B27" s="27"/>
      <c r="C27" s="27"/>
      <c r="D27" s="27"/>
      <c r="E27" s="39">
        <f t="shared" si="0"/>
        <v>0</v>
      </c>
    </row>
    <row r="28" spans="1:5" ht="15" thickBot="1" x14ac:dyDescent="0.35">
      <c r="A28" s="21">
        <v>3</v>
      </c>
      <c r="B28" s="22" t="s">
        <v>36</v>
      </c>
      <c r="C28" s="23"/>
      <c r="D28" s="23"/>
      <c r="E28" s="39">
        <f t="shared" si="0"/>
        <v>0</v>
      </c>
    </row>
    <row r="29" spans="1:5" ht="15" thickBot="1" x14ac:dyDescent="0.35">
      <c r="A29" s="26" t="s">
        <v>6</v>
      </c>
      <c r="B29" s="27" t="s">
        <v>37</v>
      </c>
      <c r="C29" s="28">
        <v>100</v>
      </c>
      <c r="D29" s="28">
        <v>140</v>
      </c>
      <c r="E29" s="39">
        <f t="shared" si="0"/>
        <v>14000</v>
      </c>
    </row>
    <row r="30" spans="1:5" ht="15" thickBot="1" x14ac:dyDescent="0.35">
      <c r="A30" s="26" t="s">
        <v>8</v>
      </c>
      <c r="B30" s="27" t="s">
        <v>38</v>
      </c>
      <c r="C30" s="28">
        <v>200</v>
      </c>
      <c r="D30" s="28">
        <v>31</v>
      </c>
      <c r="E30" s="39">
        <f t="shared" si="0"/>
        <v>6200</v>
      </c>
    </row>
    <row r="31" spans="1:5" ht="15" thickBot="1" x14ac:dyDescent="0.35">
      <c r="A31" s="26" t="s">
        <v>10</v>
      </c>
      <c r="B31" s="27" t="s">
        <v>39</v>
      </c>
      <c r="C31" s="27"/>
      <c r="D31" s="27"/>
      <c r="E31" s="39">
        <f t="shared" si="0"/>
        <v>0</v>
      </c>
    </row>
    <row r="32" spans="1:5" ht="15" thickBot="1" x14ac:dyDescent="0.35">
      <c r="A32" s="26" t="s">
        <v>12</v>
      </c>
      <c r="B32" s="27" t="s">
        <v>40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14</v>
      </c>
      <c r="B33" s="27" t="s">
        <v>41</v>
      </c>
      <c r="C33" s="27">
        <v>5000</v>
      </c>
      <c r="D33" s="27">
        <v>1</v>
      </c>
      <c r="E33" s="39">
        <f t="shared" si="0"/>
        <v>5000</v>
      </c>
    </row>
    <row r="34" spans="1:10" ht="15" thickBot="1" x14ac:dyDescent="0.35">
      <c r="A34" s="26" t="s">
        <v>22</v>
      </c>
      <c r="B34" s="27" t="s">
        <v>42</v>
      </c>
      <c r="C34" s="28">
        <v>500</v>
      </c>
      <c r="D34" s="27"/>
      <c r="E34" s="39">
        <f t="shared" si="0"/>
        <v>0</v>
      </c>
      <c r="J34" s="32"/>
    </row>
    <row r="35" spans="1:10" ht="15" thickBot="1" x14ac:dyDescent="0.35">
      <c r="A35" s="26" t="s">
        <v>24</v>
      </c>
      <c r="B35" s="27" t="s">
        <v>83</v>
      </c>
      <c r="C35" s="30">
        <v>1000</v>
      </c>
      <c r="D35" s="28"/>
      <c r="E35" s="39">
        <f t="shared" si="0"/>
        <v>0</v>
      </c>
    </row>
    <row r="36" spans="1:10" ht="15" thickBot="1" x14ac:dyDescent="0.35">
      <c r="A36" s="42" t="s">
        <v>26</v>
      </c>
      <c r="B36" s="43" t="s">
        <v>43</v>
      </c>
      <c r="C36" s="44">
        <v>2000</v>
      </c>
      <c r="D36" s="45"/>
      <c r="E36" s="39">
        <f t="shared" si="0"/>
        <v>0</v>
      </c>
    </row>
    <row r="37" spans="1:10" ht="15" thickBot="1" x14ac:dyDescent="0.35">
      <c r="A37" s="11" t="s">
        <v>28</v>
      </c>
      <c r="B37" t="s">
        <v>103</v>
      </c>
      <c r="C37" s="12">
        <v>300</v>
      </c>
      <c r="D37">
        <f>1400/300</f>
        <v>4.666666666666667</v>
      </c>
      <c r="E37" s="39">
        <f t="shared" si="0"/>
        <v>1400</v>
      </c>
    </row>
    <row r="38" spans="1:10" ht="15" thickBot="1" x14ac:dyDescent="0.35">
      <c r="A38" s="11" t="s">
        <v>30</v>
      </c>
      <c r="B38" t="s">
        <v>90</v>
      </c>
      <c r="C38" s="12">
        <v>2000</v>
      </c>
      <c r="D38"/>
      <c r="E38" s="39">
        <f t="shared" si="0"/>
        <v>0</v>
      </c>
    </row>
    <row r="39" spans="1:10" ht="15" thickBot="1" x14ac:dyDescent="0.35">
      <c r="A39" s="11" t="s">
        <v>32</v>
      </c>
      <c r="B39" t="s">
        <v>95</v>
      </c>
      <c r="C39" s="12">
        <v>300</v>
      </c>
      <c r="D39">
        <f>3200/300</f>
        <v>10.666666666666666</v>
      </c>
      <c r="E39" s="13">
        <f t="shared" ref="E39" si="1">D39*C39</f>
        <v>3200</v>
      </c>
    </row>
    <row r="40" spans="1:10" ht="15" thickBot="1" x14ac:dyDescent="0.35">
      <c r="A40" s="27"/>
      <c r="B40" s="27"/>
      <c r="C40" s="27"/>
      <c r="D40" s="27"/>
      <c r="E40" s="39">
        <f t="shared" si="0"/>
        <v>0</v>
      </c>
    </row>
    <row r="41" spans="1:10" ht="15" thickBot="1" x14ac:dyDescent="0.35">
      <c r="A41" s="21">
        <v>4</v>
      </c>
      <c r="B41" s="22" t="s">
        <v>44</v>
      </c>
      <c r="C41" s="23"/>
      <c r="D41" s="23"/>
      <c r="E41" s="39">
        <f t="shared" si="0"/>
        <v>0</v>
      </c>
    </row>
    <row r="42" spans="1:10" ht="15" thickBot="1" x14ac:dyDescent="0.35">
      <c r="A42" s="26" t="s">
        <v>6</v>
      </c>
      <c r="B42" s="27" t="s">
        <v>45</v>
      </c>
      <c r="C42" s="30">
        <v>700</v>
      </c>
      <c r="D42" s="28">
        <f>1500/700</f>
        <v>2.1428571428571428</v>
      </c>
      <c r="E42" s="39">
        <f t="shared" si="0"/>
        <v>1500</v>
      </c>
    </row>
    <row r="43" spans="1:10" ht="15" thickBot="1" x14ac:dyDescent="0.35">
      <c r="A43" s="26" t="s">
        <v>8</v>
      </c>
      <c r="B43" s="27" t="s">
        <v>46</v>
      </c>
      <c r="C43" s="28">
        <v>700</v>
      </c>
      <c r="D43" s="28">
        <v>1</v>
      </c>
      <c r="E43" s="39">
        <f t="shared" si="0"/>
        <v>700</v>
      </c>
    </row>
    <row r="44" spans="1:10" ht="15" thickBot="1" x14ac:dyDescent="0.35">
      <c r="A44" s="26" t="s">
        <v>10</v>
      </c>
      <c r="B44" s="27" t="s">
        <v>47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12</v>
      </c>
      <c r="B45" s="27" t="s">
        <v>48</v>
      </c>
      <c r="C45" s="27"/>
      <c r="D45" s="27"/>
      <c r="E45" s="39">
        <f t="shared" si="0"/>
        <v>0</v>
      </c>
    </row>
    <row r="46" spans="1:10" ht="15" thickBot="1" x14ac:dyDescent="0.35">
      <c r="A46" s="26" t="s">
        <v>14</v>
      </c>
      <c r="B46" s="27" t="s">
        <v>49</v>
      </c>
      <c r="C46" s="27"/>
      <c r="D46" s="27"/>
      <c r="E46" s="39">
        <f t="shared" si="0"/>
        <v>0</v>
      </c>
    </row>
    <row r="47" spans="1:10" ht="15" thickBot="1" x14ac:dyDescent="0.35">
      <c r="A47" s="27"/>
      <c r="B47" s="27"/>
      <c r="C47" s="27"/>
      <c r="D47" s="27"/>
      <c r="E47" s="39">
        <f t="shared" si="0"/>
        <v>0</v>
      </c>
    </row>
    <row r="48" spans="1:10" ht="15" thickBot="1" x14ac:dyDescent="0.35">
      <c r="A48" s="21">
        <v>5</v>
      </c>
      <c r="B48" s="22" t="s">
        <v>50</v>
      </c>
      <c r="C48" s="23"/>
      <c r="D48" s="23"/>
      <c r="E48" s="39">
        <f t="shared" si="0"/>
        <v>0</v>
      </c>
    </row>
    <row r="49" spans="1:5" ht="15" thickBot="1" x14ac:dyDescent="0.35">
      <c r="A49" s="26" t="s">
        <v>6</v>
      </c>
      <c r="B49" s="46" t="s">
        <v>51</v>
      </c>
      <c r="C49" s="28">
        <v>100</v>
      </c>
      <c r="D49" s="28">
        <v>2</v>
      </c>
      <c r="E49" s="39">
        <f t="shared" si="0"/>
        <v>200</v>
      </c>
    </row>
    <row r="50" spans="1:5" ht="15" thickBot="1" x14ac:dyDescent="0.35">
      <c r="A50" s="26" t="s">
        <v>8</v>
      </c>
      <c r="B50" s="27" t="s">
        <v>52</v>
      </c>
      <c r="C50" s="28">
        <v>200</v>
      </c>
      <c r="D50" s="27">
        <v>2</v>
      </c>
      <c r="E50" s="39">
        <f t="shared" si="0"/>
        <v>400</v>
      </c>
    </row>
    <row r="51" spans="1:5" ht="15" thickBot="1" x14ac:dyDescent="0.35">
      <c r="A51" s="29"/>
      <c r="B51" s="27"/>
      <c r="C51" s="27"/>
      <c r="D51" s="27"/>
      <c r="E51" s="39">
        <f t="shared" si="0"/>
        <v>0</v>
      </c>
    </row>
    <row r="52" spans="1:5" ht="15" thickBot="1" x14ac:dyDescent="0.35">
      <c r="A52" s="21">
        <v>6</v>
      </c>
      <c r="B52" s="22" t="s">
        <v>53</v>
      </c>
      <c r="C52" s="23"/>
      <c r="D52" s="23"/>
      <c r="E52" s="39">
        <f t="shared" si="0"/>
        <v>0</v>
      </c>
    </row>
    <row r="53" spans="1:5" ht="15" thickBot="1" x14ac:dyDescent="0.35">
      <c r="A53" s="26" t="s">
        <v>6</v>
      </c>
      <c r="B53" s="27" t="s">
        <v>54</v>
      </c>
      <c r="C53" s="30">
        <v>2000</v>
      </c>
      <c r="D53" s="28">
        <v>1</v>
      </c>
      <c r="E53" s="39">
        <f t="shared" si="0"/>
        <v>2000</v>
      </c>
    </row>
    <row r="54" spans="1:5" ht="15" thickBot="1" x14ac:dyDescent="0.35">
      <c r="A54" s="26" t="s">
        <v>8</v>
      </c>
      <c r="B54" s="27" t="s">
        <v>55</v>
      </c>
      <c r="C54" s="28">
        <v>300</v>
      </c>
      <c r="D54" s="27"/>
      <c r="E54" s="39">
        <f t="shared" si="0"/>
        <v>0</v>
      </c>
    </row>
    <row r="55" spans="1:5" ht="15" thickBot="1" x14ac:dyDescent="0.35">
      <c r="A55" s="26" t="s">
        <v>10</v>
      </c>
      <c r="B55" s="27" t="s">
        <v>56</v>
      </c>
      <c r="C55" s="28">
        <v>700</v>
      </c>
      <c r="D55" s="27"/>
      <c r="E55" s="39">
        <f t="shared" si="0"/>
        <v>0</v>
      </c>
    </row>
    <row r="56" spans="1:5" ht="15" thickBot="1" x14ac:dyDescent="0.35">
      <c r="A56" s="26" t="s">
        <v>12</v>
      </c>
      <c r="B56" s="27" t="s">
        <v>57</v>
      </c>
      <c r="C56" s="28">
        <v>800</v>
      </c>
      <c r="D56" s="27"/>
      <c r="E56" s="39">
        <f t="shared" si="0"/>
        <v>0</v>
      </c>
    </row>
    <row r="57" spans="1:5" ht="15" thickBot="1" x14ac:dyDescent="0.35">
      <c r="A57" s="26" t="s">
        <v>14</v>
      </c>
      <c r="B57" s="27" t="s">
        <v>58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22</v>
      </c>
      <c r="B58" s="27" t="s">
        <v>59</v>
      </c>
      <c r="C58" s="28">
        <v>400</v>
      </c>
      <c r="D58" s="27">
        <v>1</v>
      </c>
      <c r="E58" s="39">
        <f t="shared" si="0"/>
        <v>400</v>
      </c>
    </row>
    <row r="59" spans="1:5" ht="15" thickBot="1" x14ac:dyDescent="0.35">
      <c r="A59" s="26" t="s">
        <v>24</v>
      </c>
      <c r="B59" s="27" t="s">
        <v>60</v>
      </c>
      <c r="C59" s="30">
        <v>1000</v>
      </c>
      <c r="D59" s="28"/>
      <c r="E59" s="39">
        <f t="shared" si="0"/>
        <v>0</v>
      </c>
    </row>
    <row r="60" spans="1:5" ht="15" thickBot="1" x14ac:dyDescent="0.35">
      <c r="A60" s="26" t="s">
        <v>26</v>
      </c>
      <c r="B60" s="27" t="s">
        <v>61</v>
      </c>
      <c r="C60" s="28">
        <v>400</v>
      </c>
      <c r="D60" s="27">
        <v>2</v>
      </c>
      <c r="E60" s="39">
        <f t="shared" si="0"/>
        <v>800</v>
      </c>
    </row>
    <row r="61" spans="1:5" ht="15" thickBot="1" x14ac:dyDescent="0.35">
      <c r="A61" s="26" t="s">
        <v>28</v>
      </c>
      <c r="B61" s="27" t="s">
        <v>62</v>
      </c>
      <c r="C61" s="28">
        <v>500</v>
      </c>
      <c r="D61" s="27"/>
      <c r="E61" s="39">
        <f t="shared" si="0"/>
        <v>0</v>
      </c>
    </row>
    <row r="62" spans="1:5" ht="15" thickBot="1" x14ac:dyDescent="0.35">
      <c r="A62" s="26" t="s">
        <v>30</v>
      </c>
      <c r="B62" s="27" t="s">
        <v>63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32</v>
      </c>
      <c r="B63" s="27" t="s">
        <v>64</v>
      </c>
      <c r="C63" s="28">
        <v>800</v>
      </c>
      <c r="D63" s="27"/>
      <c r="E63" s="39">
        <f t="shared" si="0"/>
        <v>0</v>
      </c>
    </row>
    <row r="64" spans="1:5" ht="15" thickBot="1" x14ac:dyDescent="0.35">
      <c r="A64" s="26" t="s">
        <v>34</v>
      </c>
      <c r="B64" s="27" t="s">
        <v>65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66</v>
      </c>
      <c r="B65" s="27" t="s">
        <v>67</v>
      </c>
      <c r="C65" s="28">
        <v>300</v>
      </c>
      <c r="D65" s="27"/>
      <c r="E65" s="39">
        <f t="shared" si="0"/>
        <v>0</v>
      </c>
    </row>
    <row r="66" spans="1:13" ht="15" thickBot="1" x14ac:dyDescent="0.35">
      <c r="A66" s="26" t="s">
        <v>68</v>
      </c>
      <c r="B66" s="27" t="s">
        <v>69</v>
      </c>
      <c r="C66" s="28">
        <v>600</v>
      </c>
      <c r="D66" s="27"/>
      <c r="E66" s="39">
        <f t="shared" si="0"/>
        <v>0</v>
      </c>
    </row>
    <row r="67" spans="1:13" ht="15" thickBot="1" x14ac:dyDescent="0.35">
      <c r="A67" s="26" t="s">
        <v>70</v>
      </c>
      <c r="B67" s="27" t="s">
        <v>71</v>
      </c>
      <c r="C67" s="28">
        <v>1500</v>
      </c>
      <c r="D67" s="27"/>
      <c r="E67" s="39">
        <f t="shared" si="0"/>
        <v>0</v>
      </c>
    </row>
    <row r="68" spans="1:13" ht="15" thickBot="1" x14ac:dyDescent="0.35">
      <c r="A68" s="26" t="s">
        <v>72</v>
      </c>
      <c r="B68" s="27" t="s">
        <v>73</v>
      </c>
      <c r="C68" s="30">
        <v>1200</v>
      </c>
      <c r="D68" s="27"/>
      <c r="E68" s="39">
        <f t="shared" si="0"/>
        <v>0</v>
      </c>
    </row>
    <row r="69" spans="1:13" ht="15" thickBot="1" x14ac:dyDescent="0.35">
      <c r="A69" s="26" t="s">
        <v>74</v>
      </c>
      <c r="B69" s="27" t="s">
        <v>75</v>
      </c>
      <c r="C69" s="30">
        <v>2000</v>
      </c>
      <c r="D69" s="27"/>
      <c r="E69" s="39">
        <f t="shared" si="0"/>
        <v>0</v>
      </c>
      <c r="M69"/>
    </row>
    <row r="70" spans="1:13" ht="15" thickBot="1" x14ac:dyDescent="0.35">
      <c r="A70" s="11" t="s">
        <v>79</v>
      </c>
      <c r="B70" s="14" t="s">
        <v>84</v>
      </c>
      <c r="C70" s="12">
        <v>400</v>
      </c>
      <c r="D70"/>
      <c r="E70" s="39">
        <f t="shared" si="0"/>
        <v>0</v>
      </c>
      <c r="M70"/>
    </row>
    <row r="71" spans="1:13" ht="15" thickBot="1" x14ac:dyDescent="0.35">
      <c r="A71" s="11" t="s">
        <v>85</v>
      </c>
      <c r="B71" s="14" t="s">
        <v>86</v>
      </c>
      <c r="C71" s="12">
        <v>300</v>
      </c>
      <c r="D71"/>
      <c r="E71" s="39">
        <f t="shared" si="0"/>
        <v>0</v>
      </c>
      <c r="M71"/>
    </row>
    <row r="72" spans="1:13" ht="15" thickBot="1" x14ac:dyDescent="0.35">
      <c r="A72" s="11" t="s">
        <v>87</v>
      </c>
      <c r="B72" s="14" t="s">
        <v>88</v>
      </c>
      <c r="C72" s="12">
        <v>500</v>
      </c>
      <c r="D72"/>
      <c r="E72" s="39">
        <f t="shared" si="0"/>
        <v>0</v>
      </c>
      <c r="M72"/>
    </row>
    <row r="73" spans="1:13" ht="15" thickBot="1" x14ac:dyDescent="0.35">
      <c r="A73" s="11" t="s">
        <v>98</v>
      </c>
      <c r="B73" s="14" t="s">
        <v>99</v>
      </c>
      <c r="C73" s="12">
        <v>800</v>
      </c>
      <c r="D73"/>
      <c r="E73" s="39">
        <f t="shared" si="0"/>
        <v>0</v>
      </c>
      <c r="M73"/>
    </row>
    <row r="74" spans="1:13" ht="15" thickBot="1" x14ac:dyDescent="0.35">
      <c r="A74" s="27"/>
      <c r="B74" s="27"/>
      <c r="C74" s="27"/>
      <c r="D74" s="27"/>
      <c r="E74" s="39">
        <f t="shared" si="0"/>
        <v>0</v>
      </c>
      <c r="M74"/>
    </row>
    <row r="75" spans="1:13" ht="15" thickBot="1" x14ac:dyDescent="0.35">
      <c r="A75" s="31">
        <v>7</v>
      </c>
      <c r="B75" s="22" t="s">
        <v>76</v>
      </c>
      <c r="C75" s="23"/>
      <c r="D75" s="23"/>
      <c r="E75" s="39">
        <f t="shared" si="0"/>
        <v>0</v>
      </c>
      <c r="M75"/>
    </row>
    <row r="76" spans="1:13" ht="15" thickBot="1" x14ac:dyDescent="0.35">
      <c r="A76" s="26" t="s">
        <v>6</v>
      </c>
      <c r="B76" s="27" t="s">
        <v>77</v>
      </c>
      <c r="C76" s="27"/>
      <c r="D76" s="27"/>
      <c r="E76" s="39">
        <f t="shared" ref="E76:E77" si="2">C76*D76</f>
        <v>0</v>
      </c>
      <c r="M76"/>
    </row>
    <row r="77" spans="1:13" ht="15" thickBot="1" x14ac:dyDescent="0.35">
      <c r="A77" s="26" t="s">
        <v>8</v>
      </c>
      <c r="B77" s="27" t="s">
        <v>78</v>
      </c>
      <c r="C77" s="28">
        <v>2000</v>
      </c>
      <c r="D77" s="27"/>
      <c r="E77" s="39">
        <f t="shared" si="2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3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3"/>
        <v>0</v>
      </c>
    </row>
    <row r="82" spans="2:5" x14ac:dyDescent="0.3">
      <c r="B82" t="s">
        <v>80</v>
      </c>
      <c r="E82" s="13">
        <f>SUM(E2:E78)</f>
        <v>49000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2"/>
  <sheetViews>
    <sheetView topLeftCell="A37" zoomScale="80" zoomScaleNormal="55" workbookViewId="0">
      <selection activeCell="D51" sqref="D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500</v>
      </c>
      <c r="D15">
        <v>15</v>
      </c>
      <c r="E15" s="13">
        <f t="shared" si="0"/>
        <v>7500</v>
      </c>
    </row>
    <row r="16" spans="1:10" x14ac:dyDescent="0.3">
      <c r="A16" s="11" t="s">
        <v>24</v>
      </c>
      <c r="B16" t="s">
        <v>25</v>
      </c>
      <c r="C16" s="12">
        <v>400</v>
      </c>
      <c r="D16">
        <v>4</v>
      </c>
      <c r="E16" s="13">
        <f t="shared" si="0"/>
        <v>1600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4</v>
      </c>
      <c r="E18" s="13">
        <f t="shared" si="0"/>
        <v>1600</v>
      </c>
    </row>
    <row r="19" spans="1:5" x14ac:dyDescent="0.3">
      <c r="A19" s="11" t="s">
        <v>30</v>
      </c>
      <c r="B19" t="s">
        <v>31</v>
      </c>
      <c r="C19" s="12">
        <v>500</v>
      </c>
      <c r="D19">
        <v>1</v>
      </c>
      <c r="E19" s="13">
        <f t="shared" si="0"/>
        <v>500</v>
      </c>
    </row>
    <row r="20" spans="1:5" x14ac:dyDescent="0.3">
      <c r="A20" s="11" t="s">
        <v>32</v>
      </c>
      <c r="B20" t="s">
        <v>33</v>
      </c>
      <c r="C20" s="12">
        <v>200</v>
      </c>
      <c r="D20">
        <v>2</v>
      </c>
      <c r="E20" s="13">
        <f t="shared" si="0"/>
        <v>400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>
        <v>1</v>
      </c>
      <c r="E23" s="13">
        <f t="shared" si="0"/>
        <v>400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1500</v>
      </c>
      <c r="D26">
        <v>1</v>
      </c>
      <c r="E26" s="13">
        <f t="shared" si="0"/>
        <v>1500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60</v>
      </c>
      <c r="E29" s="13">
        <f t="shared" si="0"/>
        <v>6000</v>
      </c>
    </row>
    <row r="30" spans="1:5" x14ac:dyDescent="0.3">
      <c r="A30" s="11" t="s">
        <v>8</v>
      </c>
      <c r="B30" t="s">
        <v>38</v>
      </c>
      <c r="C30" s="12">
        <v>200</v>
      </c>
      <c r="D30">
        <v>20</v>
      </c>
      <c r="E30" s="13">
        <f t="shared" si="0"/>
        <v>4000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/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32"/>
    </row>
    <row r="35" spans="1:10" x14ac:dyDescent="0.3">
      <c r="A35" s="11" t="s">
        <v>24</v>
      </c>
      <c r="B35" t="s">
        <v>83</v>
      </c>
      <c r="C35" s="12">
        <v>600</v>
      </c>
      <c r="D35"/>
      <c r="E35" s="13">
        <f t="shared" si="0"/>
        <v>0</v>
      </c>
      <c r="J35" s="32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1</v>
      </c>
      <c r="E42" s="13">
        <f t="shared" si="0"/>
        <v>700</v>
      </c>
    </row>
    <row r="43" spans="1:10" x14ac:dyDescent="0.3">
      <c r="A43" s="11" t="s">
        <v>8</v>
      </c>
      <c r="B43" t="s">
        <v>46</v>
      </c>
      <c r="C43" s="12">
        <v>350</v>
      </c>
      <c r="D43">
        <v>1</v>
      </c>
      <c r="E43" s="13">
        <f t="shared" si="0"/>
        <v>350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6</v>
      </c>
      <c r="E49" s="13">
        <f t="shared" si="1"/>
        <v>600</v>
      </c>
    </row>
    <row r="50" spans="1:5" x14ac:dyDescent="0.3">
      <c r="A50" s="11" t="s">
        <v>8</v>
      </c>
      <c r="B50" t="s">
        <v>52</v>
      </c>
      <c r="C50" s="12">
        <v>200</v>
      </c>
      <c r="D50">
        <v>4</v>
      </c>
      <c r="E50" s="13">
        <f t="shared" si="1"/>
        <v>800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6500</v>
      </c>
      <c r="D53">
        <v>1</v>
      </c>
      <c r="E53" s="13">
        <f t="shared" si="1"/>
        <v>6500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>
        <v>4</v>
      </c>
      <c r="E59" s="13">
        <f t="shared" si="1"/>
        <v>6000</v>
      </c>
    </row>
    <row r="60" spans="1:5" x14ac:dyDescent="0.3">
      <c r="A60" s="11" t="s">
        <v>26</v>
      </c>
      <c r="B60" s="14" t="s">
        <v>61</v>
      </c>
      <c r="C60" s="12">
        <v>500</v>
      </c>
      <c r="D60">
        <v>1</v>
      </c>
      <c r="E60" s="13">
        <f t="shared" si="1"/>
        <v>500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13" x14ac:dyDescent="0.3">
      <c r="A66" s="11" t="s">
        <v>68</v>
      </c>
      <c r="B66" s="14" t="s">
        <v>69</v>
      </c>
      <c r="C66" s="12">
        <v>1000</v>
      </c>
      <c r="D66">
        <v>2</v>
      </c>
      <c r="E66" s="13">
        <f t="shared" si="1"/>
        <v>2000</v>
      </c>
    </row>
    <row r="67" spans="1:13" x14ac:dyDescent="0.3">
      <c r="A67" s="11" t="s">
        <v>70</v>
      </c>
      <c r="B67" s="14" t="s">
        <v>71</v>
      </c>
      <c r="C67" s="12">
        <v>1300</v>
      </c>
      <c r="D67">
        <v>1</v>
      </c>
      <c r="E67" s="13">
        <f t="shared" si="1"/>
        <v>1300</v>
      </c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13" x14ac:dyDescent="0.3">
      <c r="A70" s="11" t="s">
        <v>79</v>
      </c>
      <c r="B70" s="14" t="s">
        <v>84</v>
      </c>
      <c r="C70" s="12">
        <v>500</v>
      </c>
      <c r="D70">
        <v>7</v>
      </c>
      <c r="E70" s="13">
        <f t="shared" si="1"/>
        <v>3500</v>
      </c>
      <c r="M70"/>
    </row>
    <row r="71" spans="1:13" x14ac:dyDescent="0.3">
      <c r="A71" s="11" t="s">
        <v>85</v>
      </c>
      <c r="B71" s="14" t="s">
        <v>86</v>
      </c>
      <c r="C71" s="12">
        <v>500</v>
      </c>
      <c r="D71">
        <v>1</v>
      </c>
      <c r="E71" s="13">
        <f t="shared" si="1"/>
        <v>500</v>
      </c>
      <c r="M71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/>
    </row>
    <row r="73" spans="1:13" x14ac:dyDescent="0.3">
      <c r="A73" s="11" t="s">
        <v>98</v>
      </c>
      <c r="B73" s="14" t="s">
        <v>99</v>
      </c>
      <c r="C73" s="12">
        <v>800</v>
      </c>
      <c r="D73"/>
      <c r="E73" s="13">
        <f t="shared" si="1"/>
        <v>0</v>
      </c>
      <c r="M73"/>
    </row>
    <row r="74" spans="1:13" x14ac:dyDescent="0.3">
      <c r="C74" s="12"/>
      <c r="D74"/>
      <c r="E74" s="13">
        <f t="shared" si="1"/>
        <v>0</v>
      </c>
      <c r="M74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13" x14ac:dyDescent="0.3">
      <c r="B82" t="s">
        <v>80</v>
      </c>
      <c r="E82" s="13">
        <f>SUM(E2:E78)</f>
        <v>46250</v>
      </c>
      <c r="M8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2"/>
  <sheetViews>
    <sheetView topLeftCell="A33" zoomScale="89" workbookViewId="0">
      <selection activeCell="G54" sqref="G54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700</v>
      </c>
      <c r="D10">
        <v>3</v>
      </c>
      <c r="E10" s="13">
        <f>D10*C10</f>
        <v>2100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3</v>
      </c>
      <c r="E18" s="13">
        <f t="shared" si="0"/>
        <v>1200</v>
      </c>
    </row>
    <row r="19" spans="1:5" x14ac:dyDescent="0.3">
      <c r="A19" s="11" t="s">
        <v>30</v>
      </c>
      <c r="B19" t="s">
        <v>31</v>
      </c>
      <c r="C19" s="12">
        <v>500</v>
      </c>
      <c r="D19">
        <v>3</v>
      </c>
      <c r="E19" s="13">
        <f t="shared" si="0"/>
        <v>1500</v>
      </c>
    </row>
    <row r="20" spans="1:5" x14ac:dyDescent="0.3">
      <c r="A20" s="11" t="s">
        <v>32</v>
      </c>
      <c r="B20" t="s">
        <v>33</v>
      </c>
      <c r="C20" s="12">
        <v>200</v>
      </c>
      <c r="D20">
        <v>5</v>
      </c>
      <c r="E20" s="13">
        <f t="shared" si="0"/>
        <v>1000</v>
      </c>
    </row>
    <row r="21" spans="1:5" x14ac:dyDescent="0.3">
      <c r="A21" s="11" t="s">
        <v>34</v>
      </c>
      <c r="B21" t="s">
        <v>35</v>
      </c>
      <c r="C21" s="12">
        <v>500</v>
      </c>
      <c r="D21">
        <v>4</v>
      </c>
      <c r="E21" s="13">
        <f t="shared" si="0"/>
        <v>2000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>
        <v>1</v>
      </c>
      <c r="E23" s="13">
        <f t="shared" si="0"/>
        <v>400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1500</v>
      </c>
      <c r="D26">
        <v>2</v>
      </c>
      <c r="E26" s="13">
        <f t="shared" si="0"/>
        <v>3000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56</v>
      </c>
      <c r="E29" s="13">
        <f t="shared" si="0"/>
        <v>5600</v>
      </c>
    </row>
    <row r="30" spans="1:5" x14ac:dyDescent="0.3">
      <c r="A30" s="11" t="s">
        <v>8</v>
      </c>
      <c r="B30" t="s">
        <v>38</v>
      </c>
      <c r="C30" s="12">
        <v>200</v>
      </c>
      <c r="D30"/>
      <c r="E30" s="13">
        <f t="shared" si="0"/>
        <v>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104</v>
      </c>
      <c r="C37" s="12">
        <v>3000</v>
      </c>
      <c r="D37">
        <v>1</v>
      </c>
      <c r="E37" s="13">
        <f t="shared" si="0"/>
        <v>3000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1000</v>
      </c>
      <c r="D42"/>
      <c r="E42" s="13">
        <f t="shared" si="0"/>
        <v>0</v>
      </c>
    </row>
    <row r="43" spans="1:10" x14ac:dyDescent="0.3">
      <c r="A43" s="11" t="s">
        <v>8</v>
      </c>
      <c r="B43" t="s">
        <v>46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/>
      <c r="E49" s="13">
        <f t="shared" si="1"/>
        <v>0</v>
      </c>
    </row>
    <row r="50" spans="1:5" x14ac:dyDescent="0.3">
      <c r="A50" s="11" t="s">
        <v>8</v>
      </c>
      <c r="B50" t="s">
        <v>52</v>
      </c>
      <c r="C50" s="12">
        <v>200</v>
      </c>
      <c r="D50"/>
      <c r="E50" s="13">
        <f t="shared" si="1"/>
        <v>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2800</v>
      </c>
      <c r="D53">
        <v>1</v>
      </c>
      <c r="E53" s="13">
        <f t="shared" si="1"/>
        <v>2800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400</v>
      </c>
      <c r="D58">
        <v>4</v>
      </c>
      <c r="E58" s="13">
        <f t="shared" si="1"/>
        <v>1600</v>
      </c>
    </row>
    <row r="59" spans="1:5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300</v>
      </c>
      <c r="D60"/>
      <c r="E60" s="13">
        <f t="shared" si="1"/>
        <v>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300</v>
      </c>
      <c r="D65"/>
      <c r="E65" s="13">
        <f t="shared" si="1"/>
        <v>0</v>
      </c>
    </row>
    <row r="66" spans="1:5" x14ac:dyDescent="0.3">
      <c r="A66" s="11" t="s">
        <v>68</v>
      </c>
      <c r="B66" s="14" t="s">
        <v>69</v>
      </c>
      <c r="C66" s="12">
        <v>700</v>
      </c>
      <c r="D66"/>
      <c r="E66" s="13">
        <f t="shared" si="1"/>
        <v>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500</v>
      </c>
      <c r="D70">
        <v>2</v>
      </c>
      <c r="E70" s="13">
        <f t="shared" si="1"/>
        <v>1000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SUM(E2:E78)</f>
        <v>25900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3"/>
  <sheetViews>
    <sheetView topLeftCell="A32" workbookViewId="0">
      <selection activeCell="D52" sqref="D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900</v>
      </c>
      <c r="D5">
        <v>1</v>
      </c>
      <c r="E5" s="13">
        <f t="shared" si="0"/>
        <v>900</v>
      </c>
    </row>
    <row r="6" spans="1:10" x14ac:dyDescent="0.3">
      <c r="A6" s="11" t="s">
        <v>12</v>
      </c>
      <c r="B6" t="s">
        <v>13</v>
      </c>
      <c r="C6" s="12">
        <v>1700</v>
      </c>
      <c r="D6">
        <v>1</v>
      </c>
      <c r="E6" s="13">
        <f>D6*C6</f>
        <v>1700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3</v>
      </c>
      <c r="E14" s="13">
        <f t="shared" si="0"/>
        <v>4800</v>
      </c>
    </row>
    <row r="15" spans="1:10" x14ac:dyDescent="0.3">
      <c r="A15" s="11" t="s">
        <v>22</v>
      </c>
      <c r="B15" t="s">
        <v>23</v>
      </c>
      <c r="C15" s="12">
        <v>500</v>
      </c>
      <c r="D15">
        <v>4</v>
      </c>
      <c r="E15" s="13">
        <f t="shared" si="0"/>
        <v>2000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400</v>
      </c>
      <c r="D18">
        <v>1</v>
      </c>
      <c r="E18" s="13">
        <f t="shared" si="0"/>
        <v>400</v>
      </c>
    </row>
    <row r="19" spans="1:5" x14ac:dyDescent="0.3">
      <c r="A19" s="11" t="s">
        <v>30</v>
      </c>
      <c r="B19" t="s">
        <v>31</v>
      </c>
      <c r="C19" s="12">
        <v>500</v>
      </c>
      <c r="D19">
        <v>4</v>
      </c>
      <c r="E19" s="13">
        <f t="shared" si="0"/>
        <v>2000</v>
      </c>
    </row>
    <row r="20" spans="1:5" x14ac:dyDescent="0.3">
      <c r="A20" s="11" t="s">
        <v>32</v>
      </c>
      <c r="B20" t="s">
        <v>33</v>
      </c>
      <c r="C20" s="12">
        <v>200</v>
      </c>
      <c r="D20">
        <v>11</v>
      </c>
      <c r="E20" s="13">
        <f t="shared" si="0"/>
        <v>2200</v>
      </c>
    </row>
    <row r="21" spans="1:5" x14ac:dyDescent="0.3">
      <c r="A21" s="11" t="s">
        <v>34</v>
      </c>
      <c r="B21" t="s">
        <v>35</v>
      </c>
      <c r="C21" s="12">
        <v>500</v>
      </c>
      <c r="D21">
        <v>4</v>
      </c>
      <c r="E21" s="13">
        <f t="shared" si="0"/>
        <v>2000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1500</v>
      </c>
      <c r="D26">
        <v>1</v>
      </c>
      <c r="E26" s="13">
        <f t="shared" si="0"/>
        <v>1500</v>
      </c>
    </row>
    <row r="27" spans="1:5" x14ac:dyDescent="0.3">
      <c r="A27" s="11" t="s">
        <v>79</v>
      </c>
      <c r="B27" t="s">
        <v>100</v>
      </c>
      <c r="C27" s="12">
        <v>1500</v>
      </c>
      <c r="D27">
        <v>2</v>
      </c>
      <c r="E27" s="13">
        <f t="shared" si="0"/>
        <v>3000</v>
      </c>
    </row>
    <row r="28" spans="1:5" x14ac:dyDescent="0.3">
      <c r="A28" s="11"/>
      <c r="C28" s="12"/>
      <c r="D28"/>
      <c r="E28" s="13">
        <f t="shared" si="0"/>
        <v>0</v>
      </c>
    </row>
    <row r="29" spans="1:5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5" x14ac:dyDescent="0.3">
      <c r="A30" s="11" t="s">
        <v>6</v>
      </c>
      <c r="B30" t="s">
        <v>37</v>
      </c>
      <c r="C30" s="12">
        <v>100</v>
      </c>
      <c r="D30">
        <v>55</v>
      </c>
      <c r="E30" s="13">
        <f t="shared" si="0"/>
        <v>5500</v>
      </c>
    </row>
    <row r="31" spans="1:5" x14ac:dyDescent="0.3">
      <c r="A31" s="11" t="s">
        <v>8</v>
      </c>
      <c r="B31" t="s">
        <v>38</v>
      </c>
      <c r="C31" s="12">
        <v>200</v>
      </c>
      <c r="D31">
        <f>3450/200</f>
        <v>17.25</v>
      </c>
      <c r="E31" s="13">
        <f t="shared" si="0"/>
        <v>3450</v>
      </c>
    </row>
    <row r="32" spans="1:5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/>
      <c r="E35" s="13">
        <f t="shared" si="0"/>
        <v>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si="0"/>
        <v>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3</v>
      </c>
      <c r="E43" s="13">
        <f t="shared" si="0"/>
        <v>2100</v>
      </c>
    </row>
    <row r="44" spans="1:10" x14ac:dyDescent="0.3">
      <c r="A44" s="11" t="s">
        <v>8</v>
      </c>
      <c r="B44" t="s">
        <v>46</v>
      </c>
      <c r="C44" s="12">
        <v>700</v>
      </c>
      <c r="D44">
        <v>2</v>
      </c>
      <c r="E44" s="13">
        <f t="shared" si="0"/>
        <v>1400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100</v>
      </c>
      <c r="D50">
        <v>4</v>
      </c>
      <c r="E50" s="13">
        <f t="shared" si="1"/>
        <v>400</v>
      </c>
    </row>
    <row r="51" spans="1:5" x14ac:dyDescent="0.3">
      <c r="A51" s="11" t="s">
        <v>8</v>
      </c>
      <c r="B51" t="s">
        <v>52</v>
      </c>
      <c r="C51" s="12">
        <v>200</v>
      </c>
      <c r="D51">
        <v>1</v>
      </c>
      <c r="E51" s="13">
        <f t="shared" si="1"/>
        <v>200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3000</v>
      </c>
      <c r="D54">
        <v>1</v>
      </c>
      <c r="E54" s="13">
        <f t="shared" si="1"/>
        <v>3000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500</v>
      </c>
      <c r="D58">
        <v>2</v>
      </c>
      <c r="E58" s="13">
        <f t="shared" si="1"/>
        <v>1000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1600</v>
      </c>
      <c r="D60">
        <v>2</v>
      </c>
      <c r="E60" s="13">
        <f t="shared" si="1"/>
        <v>3200</v>
      </c>
    </row>
    <row r="61" spans="1:5" x14ac:dyDescent="0.3">
      <c r="A61" s="11" t="s">
        <v>26</v>
      </c>
      <c r="B61" s="14" t="s">
        <v>61</v>
      </c>
      <c r="C61" s="12">
        <v>500</v>
      </c>
      <c r="D61">
        <v>1</v>
      </c>
      <c r="E61" s="13">
        <f t="shared" si="1"/>
        <v>500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300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1300</v>
      </c>
      <c r="D68">
        <v>2</v>
      </c>
      <c r="E68" s="13">
        <f t="shared" si="1"/>
        <v>2600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500</v>
      </c>
      <c r="D72">
        <v>1</v>
      </c>
      <c r="E72" s="13">
        <f t="shared" si="1"/>
        <v>500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44350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2"/>
  <sheetViews>
    <sheetView topLeftCell="A31" workbookViewId="0">
      <selection activeCell="D50" sqref="D50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4</v>
      </c>
      <c r="E14" s="13">
        <f t="shared" si="0"/>
        <v>6400</v>
      </c>
    </row>
    <row r="15" spans="1:10" x14ac:dyDescent="0.3">
      <c r="A15" s="11" t="s">
        <v>22</v>
      </c>
      <c r="B15" t="s">
        <v>23</v>
      </c>
      <c r="C15" s="12">
        <v>600</v>
      </c>
      <c r="D15">
        <v>1</v>
      </c>
      <c r="E15" s="13">
        <f t="shared" si="0"/>
        <v>600</v>
      </c>
    </row>
    <row r="16" spans="1:10" x14ac:dyDescent="0.3">
      <c r="A16" s="11" t="s">
        <v>24</v>
      </c>
      <c r="B16" t="s">
        <v>25</v>
      </c>
      <c r="C16" s="12">
        <f>1350/3</f>
        <v>450</v>
      </c>
      <c r="D16">
        <v>3</v>
      </c>
      <c r="E16" s="13">
        <f t="shared" si="0"/>
        <v>1350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550</v>
      </c>
      <c r="D19">
        <v>2</v>
      </c>
      <c r="E19" s="13">
        <f t="shared" si="0"/>
        <v>1100</v>
      </c>
    </row>
    <row r="20" spans="1:5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</row>
    <row r="21" spans="1:5" x14ac:dyDescent="0.3">
      <c r="A21" s="11" t="s">
        <v>34</v>
      </c>
      <c r="B21" t="s">
        <v>35</v>
      </c>
      <c r="C21" s="12">
        <v>550</v>
      </c>
      <c r="D21">
        <v>2</v>
      </c>
      <c r="E21" s="13">
        <f t="shared" si="0"/>
        <v>1100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450</v>
      </c>
      <c r="D23">
        <v>1</v>
      </c>
      <c r="E23" s="13">
        <f t="shared" si="0"/>
        <v>450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102</v>
      </c>
      <c r="C26" s="12">
        <v>1600</v>
      </c>
      <c r="D26">
        <v>2</v>
      </c>
      <c r="E26" s="13">
        <f t="shared" si="0"/>
        <v>3200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52</v>
      </c>
      <c r="E29" s="13">
        <f t="shared" si="0"/>
        <v>5200</v>
      </c>
    </row>
    <row r="30" spans="1:5" x14ac:dyDescent="0.3">
      <c r="A30" s="11" t="s">
        <v>8</v>
      </c>
      <c r="B30" t="s">
        <v>38</v>
      </c>
      <c r="C30" s="12">
        <v>200</v>
      </c>
      <c r="D30">
        <v>23</v>
      </c>
      <c r="E30" s="13">
        <f t="shared" si="0"/>
        <v>4600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8000</v>
      </c>
      <c r="D33">
        <v>1</v>
      </c>
      <c r="E33" s="13">
        <f t="shared" si="0"/>
        <v>8000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/>
      <c r="D39"/>
      <c r="E39" s="13">
        <f t="shared" si="0"/>
        <v>0</v>
      </c>
    </row>
    <row r="40" spans="1:10" x14ac:dyDescent="0.3">
      <c r="C40" s="12"/>
      <c r="D40"/>
      <c r="E40" s="13">
        <f t="shared" si="0"/>
        <v>0</v>
      </c>
    </row>
    <row r="41" spans="1:10" x14ac:dyDescent="0.3">
      <c r="A41" s="6">
        <v>4</v>
      </c>
      <c r="B41" s="7" t="s">
        <v>44</v>
      </c>
      <c r="C41" s="9"/>
      <c r="D41" s="8"/>
      <c r="E41" s="10">
        <f t="shared" si="0"/>
        <v>0</v>
      </c>
    </row>
    <row r="42" spans="1:10" x14ac:dyDescent="0.3">
      <c r="A42" s="11" t="s">
        <v>6</v>
      </c>
      <c r="B42" t="s">
        <v>45</v>
      </c>
      <c r="C42" s="12">
        <v>700</v>
      </c>
      <c r="D42">
        <v>3</v>
      </c>
      <c r="E42" s="13">
        <f t="shared" si="0"/>
        <v>2100</v>
      </c>
    </row>
    <row r="43" spans="1:10" x14ac:dyDescent="0.3">
      <c r="A43" s="11" t="s">
        <v>8</v>
      </c>
      <c r="B43" t="s">
        <v>46</v>
      </c>
      <c r="C43" s="12">
        <v>700</v>
      </c>
      <c r="D43">
        <v>1</v>
      </c>
      <c r="E43" s="13">
        <f t="shared" si="0"/>
        <v>700</v>
      </c>
    </row>
    <row r="44" spans="1:10" x14ac:dyDescent="0.3">
      <c r="A44" s="11" t="s">
        <v>10</v>
      </c>
      <c r="B44" t="s">
        <v>47</v>
      </c>
      <c r="C44" s="12"/>
      <c r="E44" s="13">
        <f>D45*C44</f>
        <v>0</v>
      </c>
    </row>
    <row r="45" spans="1:10" x14ac:dyDescent="0.3">
      <c r="A45" s="11" t="s">
        <v>12</v>
      </c>
      <c r="B45" t="s">
        <v>48</v>
      </c>
      <c r="C45" s="12"/>
      <c r="D45"/>
      <c r="E45" s="13">
        <f>D46*C45</f>
        <v>0</v>
      </c>
    </row>
    <row r="46" spans="1:10" x14ac:dyDescent="0.3">
      <c r="A46" s="11" t="s">
        <v>14</v>
      </c>
      <c r="B46" t="s">
        <v>49</v>
      </c>
      <c r="C46" s="12"/>
      <c r="D46"/>
      <c r="E46" s="13">
        <f t="shared" ref="E46:E77" si="1">D46*C46</f>
        <v>0</v>
      </c>
    </row>
    <row r="47" spans="1:10" x14ac:dyDescent="0.3">
      <c r="C47" s="12"/>
      <c r="D47"/>
      <c r="E47" s="13">
        <f t="shared" si="1"/>
        <v>0</v>
      </c>
    </row>
    <row r="48" spans="1:10" x14ac:dyDescent="0.3">
      <c r="A48" s="6">
        <v>5</v>
      </c>
      <c r="B48" s="7" t="s">
        <v>50</v>
      </c>
      <c r="C48" s="9"/>
      <c r="D48" s="8"/>
      <c r="E48" s="10">
        <f t="shared" si="1"/>
        <v>0</v>
      </c>
    </row>
    <row r="49" spans="1:5" x14ac:dyDescent="0.3">
      <c r="A49" s="11" t="s">
        <v>6</v>
      </c>
      <c r="B49" t="s">
        <v>51</v>
      </c>
      <c r="C49" s="12">
        <v>100</v>
      </c>
      <c r="D49">
        <v>5</v>
      </c>
      <c r="E49" s="13">
        <f t="shared" si="1"/>
        <v>500</v>
      </c>
    </row>
    <row r="50" spans="1:5" x14ac:dyDescent="0.3">
      <c r="A50" s="11" t="s">
        <v>8</v>
      </c>
      <c r="B50" t="s">
        <v>52</v>
      </c>
      <c r="C50" s="12">
        <v>200</v>
      </c>
      <c r="D50">
        <v>1</v>
      </c>
      <c r="E50" s="13">
        <f t="shared" si="1"/>
        <v>200</v>
      </c>
    </row>
    <row r="51" spans="1:5" x14ac:dyDescent="0.3">
      <c r="A51" s="11"/>
      <c r="C51" s="12"/>
      <c r="D51"/>
      <c r="E51" s="13">
        <f t="shared" si="1"/>
        <v>0</v>
      </c>
    </row>
    <row r="52" spans="1:5" x14ac:dyDescent="0.3">
      <c r="A52" s="6">
        <v>6</v>
      </c>
      <c r="B52" s="7" t="s">
        <v>53</v>
      </c>
      <c r="C52" s="9"/>
      <c r="D52" s="8"/>
      <c r="E52" s="10">
        <f t="shared" si="1"/>
        <v>0</v>
      </c>
    </row>
    <row r="53" spans="1:5" x14ac:dyDescent="0.3">
      <c r="A53" s="11" t="s">
        <v>6</v>
      </c>
      <c r="B53" s="14" t="s">
        <v>54</v>
      </c>
      <c r="C53" s="12">
        <v>5600</v>
      </c>
      <c r="D53">
        <v>1</v>
      </c>
      <c r="E53" s="13">
        <f t="shared" si="1"/>
        <v>5600</v>
      </c>
    </row>
    <row r="54" spans="1:5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</row>
    <row r="55" spans="1:5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</row>
    <row r="56" spans="1:5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</row>
    <row r="57" spans="1:5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</row>
    <row r="58" spans="1:5" x14ac:dyDescent="0.3">
      <c r="A58" s="11" t="s">
        <v>22</v>
      </c>
      <c r="B58" s="14" t="s">
        <v>59</v>
      </c>
      <c r="C58" s="12">
        <v>300</v>
      </c>
      <c r="D58"/>
      <c r="E58" s="13">
        <f t="shared" si="1"/>
        <v>0</v>
      </c>
    </row>
    <row r="59" spans="1:5" x14ac:dyDescent="0.3">
      <c r="A59" s="11" t="s">
        <v>24</v>
      </c>
      <c r="B59" s="14" t="s">
        <v>60</v>
      </c>
      <c r="C59" s="12">
        <v>1500</v>
      </c>
      <c r="D59"/>
      <c r="E59" s="13">
        <f t="shared" si="1"/>
        <v>0</v>
      </c>
    </row>
    <row r="60" spans="1:5" x14ac:dyDescent="0.3">
      <c r="A60" s="11" t="s">
        <v>26</v>
      </c>
      <c r="B60" s="14" t="s">
        <v>61</v>
      </c>
      <c r="C60" s="12">
        <v>500</v>
      </c>
      <c r="D60">
        <v>1</v>
      </c>
      <c r="E60" s="13">
        <f t="shared" si="1"/>
        <v>500</v>
      </c>
    </row>
    <row r="61" spans="1:5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</row>
    <row r="62" spans="1:5" x14ac:dyDescent="0.3">
      <c r="A62" s="11" t="s">
        <v>30</v>
      </c>
      <c r="B62" s="14" t="s">
        <v>63</v>
      </c>
      <c r="C62" s="12">
        <v>700</v>
      </c>
      <c r="D62"/>
      <c r="E62" s="13">
        <f t="shared" si="1"/>
        <v>0</v>
      </c>
    </row>
    <row r="63" spans="1:5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</row>
    <row r="64" spans="1:5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</row>
    <row r="65" spans="1:5" x14ac:dyDescent="0.3">
      <c r="A65" s="11" t="s">
        <v>66</v>
      </c>
      <c r="B65" s="14" t="s">
        <v>67</v>
      </c>
      <c r="C65" s="12">
        <v>500</v>
      </c>
      <c r="D65">
        <v>2</v>
      </c>
      <c r="E65" s="13">
        <f t="shared" si="1"/>
        <v>1000</v>
      </c>
    </row>
    <row r="66" spans="1:5" x14ac:dyDescent="0.3">
      <c r="A66" s="11" t="s">
        <v>68</v>
      </c>
      <c r="B66" s="14" t="s">
        <v>69</v>
      </c>
      <c r="C66" s="12">
        <v>1000</v>
      </c>
      <c r="D66">
        <v>4</v>
      </c>
      <c r="E66" s="13">
        <f t="shared" si="1"/>
        <v>4000</v>
      </c>
    </row>
    <row r="67" spans="1:5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</row>
    <row r="68" spans="1:5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</row>
    <row r="69" spans="1:5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</row>
    <row r="70" spans="1:5" x14ac:dyDescent="0.3">
      <c r="A70" s="11" t="s">
        <v>79</v>
      </c>
      <c r="B70" s="14" t="s">
        <v>84</v>
      </c>
      <c r="C70" s="12">
        <v>400</v>
      </c>
      <c r="D70"/>
      <c r="E70" s="13">
        <f t="shared" si="1"/>
        <v>0</v>
      </c>
    </row>
    <row r="71" spans="1:5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</row>
    <row r="72" spans="1:5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</row>
    <row r="73" spans="1:5" x14ac:dyDescent="0.3">
      <c r="A73" s="11" t="s">
        <v>98</v>
      </c>
      <c r="B73" s="14" t="s">
        <v>99</v>
      </c>
      <c r="C73" s="12">
        <v>800</v>
      </c>
      <c r="D73"/>
    </row>
    <row r="74" spans="1:5" x14ac:dyDescent="0.3">
      <c r="C74" s="12"/>
      <c r="D74"/>
      <c r="E74" s="13">
        <f t="shared" si="1"/>
        <v>0</v>
      </c>
    </row>
    <row r="75" spans="1:5" x14ac:dyDescent="0.3">
      <c r="A75" s="15">
        <v>7</v>
      </c>
      <c r="B75" s="7" t="s">
        <v>76</v>
      </c>
      <c r="C75" s="9"/>
      <c r="D75" s="8"/>
      <c r="E75" s="10">
        <f t="shared" si="1"/>
        <v>0</v>
      </c>
    </row>
    <row r="76" spans="1:5" x14ac:dyDescent="0.3">
      <c r="A76" s="11" t="s">
        <v>6</v>
      </c>
      <c r="B76" s="14" t="s">
        <v>77</v>
      </c>
      <c r="C76" s="12"/>
      <c r="D76"/>
      <c r="E76" s="13">
        <f t="shared" si="1"/>
        <v>0</v>
      </c>
    </row>
    <row r="77" spans="1:5" x14ac:dyDescent="0.3">
      <c r="A77" s="11" t="s">
        <v>8</v>
      </c>
      <c r="B77" s="14" t="s">
        <v>78</v>
      </c>
      <c r="C77" s="12">
        <v>1000</v>
      </c>
      <c r="D77"/>
      <c r="E77" s="13">
        <f t="shared" si="1"/>
        <v>0</v>
      </c>
    </row>
    <row r="78" spans="1:5" x14ac:dyDescent="0.3">
      <c r="A78" s="11"/>
      <c r="B78" s="14"/>
      <c r="C78" s="12"/>
      <c r="D78"/>
    </row>
    <row r="79" spans="1:5" x14ac:dyDescent="0.3">
      <c r="A79" s="15">
        <v>8</v>
      </c>
      <c r="B79" s="7" t="s">
        <v>96</v>
      </c>
      <c r="C79" s="9"/>
      <c r="D79" s="8"/>
      <c r="E79" s="10">
        <f t="shared" ref="E79:E80" si="2">D79*C79</f>
        <v>0</v>
      </c>
    </row>
    <row r="80" spans="1:5" x14ac:dyDescent="0.3">
      <c r="A80" s="47" t="s">
        <v>6</v>
      </c>
      <c r="B80" s="14" t="s">
        <v>97</v>
      </c>
      <c r="C80">
        <v>100</v>
      </c>
      <c r="E80" s="13">
        <f t="shared" si="2"/>
        <v>0</v>
      </c>
    </row>
    <row r="82" spans="2:5" x14ac:dyDescent="0.3">
      <c r="B82" t="s">
        <v>80</v>
      </c>
      <c r="E82" s="13">
        <f>SUM(E2:E81)</f>
        <v>47800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3"/>
  <sheetViews>
    <sheetView tabSelected="1" topLeftCell="A30" workbookViewId="0">
      <selection activeCell="J49" sqref="J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3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800</v>
      </c>
      <c r="D4">
        <v>2</v>
      </c>
      <c r="E4" s="13">
        <f t="shared" si="0"/>
        <v>1600</v>
      </c>
      <c r="M4" s="33"/>
    </row>
    <row r="5" spans="1:13" x14ac:dyDescent="0.3">
      <c r="A5" s="11" t="s">
        <v>10</v>
      </c>
      <c r="B5" t="s">
        <v>11</v>
      </c>
      <c r="C5" s="12">
        <v>900</v>
      </c>
      <c r="D5">
        <v>3</v>
      </c>
      <c r="E5" s="13">
        <f t="shared" si="0"/>
        <v>2700</v>
      </c>
      <c r="M5" s="33"/>
    </row>
    <row r="6" spans="1:13" x14ac:dyDescent="0.3">
      <c r="A6" s="11" t="s">
        <v>12</v>
      </c>
      <c r="B6" t="s">
        <v>13</v>
      </c>
      <c r="C6" s="12">
        <f>2300/2</f>
        <v>1150</v>
      </c>
      <c r="D6">
        <v>2</v>
      </c>
      <c r="E6" s="13">
        <f>D6*C6</f>
        <v>2300</v>
      </c>
      <c r="J6" t="s">
        <v>105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800</v>
      </c>
      <c r="D10">
        <v>1</v>
      </c>
      <c r="E10" s="13">
        <f>D10*C10</f>
        <v>800</v>
      </c>
      <c r="M10" s="33"/>
    </row>
    <row r="11" spans="1:13" x14ac:dyDescent="0.3">
      <c r="A11" s="11" t="s">
        <v>8</v>
      </c>
      <c r="B11" t="s">
        <v>18</v>
      </c>
      <c r="C11" s="12">
        <v>450</v>
      </c>
      <c r="D11">
        <v>1</v>
      </c>
      <c r="E11" s="13">
        <f>D11*C11</f>
        <v>450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1700</v>
      </c>
      <c r="D14">
        <v>1</v>
      </c>
      <c r="E14" s="13">
        <f t="shared" si="0"/>
        <v>1700</v>
      </c>
      <c r="M14" s="33"/>
    </row>
    <row r="15" spans="1:13" x14ac:dyDescent="0.3">
      <c r="A15" s="11" t="s">
        <v>22</v>
      </c>
      <c r="B15" t="s">
        <v>23</v>
      </c>
      <c r="C15" s="12">
        <v>600</v>
      </c>
      <c r="D15">
        <v>2</v>
      </c>
      <c r="E15" s="13">
        <f t="shared" si="0"/>
        <v>1200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450</v>
      </c>
      <c r="D18">
        <v>3</v>
      </c>
      <c r="E18" s="13">
        <f t="shared" si="0"/>
        <v>1350</v>
      </c>
      <c r="M18" s="33"/>
    </row>
    <row r="19" spans="1:13" x14ac:dyDescent="0.3">
      <c r="A19" s="11" t="s">
        <v>30</v>
      </c>
      <c r="B19" t="s">
        <v>31</v>
      </c>
      <c r="C19" s="12">
        <v>600</v>
      </c>
      <c r="D19">
        <v>1</v>
      </c>
      <c r="E19" s="13">
        <f t="shared" si="0"/>
        <v>600</v>
      </c>
      <c r="M19" s="33"/>
    </row>
    <row r="20" spans="1:13" x14ac:dyDescent="0.3">
      <c r="A20" s="11" t="s">
        <v>32</v>
      </c>
      <c r="B20" t="s">
        <v>33</v>
      </c>
      <c r="C20" s="12">
        <v>200</v>
      </c>
      <c r="D20">
        <v>6</v>
      </c>
      <c r="E20" s="13">
        <f t="shared" si="0"/>
        <v>1200</v>
      </c>
      <c r="M20" s="33"/>
    </row>
    <row r="21" spans="1:13" x14ac:dyDescent="0.3">
      <c r="A21" s="11" t="s">
        <v>34</v>
      </c>
      <c r="B21" t="s">
        <v>35</v>
      </c>
      <c r="C21" s="12">
        <v>600</v>
      </c>
      <c r="D21">
        <v>5</v>
      </c>
      <c r="E21" s="13">
        <f t="shared" si="0"/>
        <v>3000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  <c r="M22" s="33"/>
    </row>
    <row r="23" spans="1:13" x14ac:dyDescent="0.3">
      <c r="A23" s="11" t="s">
        <v>68</v>
      </c>
      <c r="B23" t="s">
        <v>92</v>
      </c>
      <c r="C23" s="12">
        <v>450</v>
      </c>
      <c r="D23">
        <v>1</v>
      </c>
      <c r="E23" s="13">
        <f t="shared" si="0"/>
        <v>450</v>
      </c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  <c r="M25" s="33"/>
    </row>
    <row r="26" spans="1:13" x14ac:dyDescent="0.3">
      <c r="A26" s="11" t="s">
        <v>74</v>
      </c>
      <c r="B26" t="s">
        <v>102</v>
      </c>
      <c r="C26" s="12">
        <v>1600</v>
      </c>
      <c r="D26">
        <v>4</v>
      </c>
      <c r="E26" s="13">
        <f t="shared" si="0"/>
        <v>6400</v>
      </c>
      <c r="M26" s="33"/>
    </row>
    <row r="27" spans="1:13" x14ac:dyDescent="0.3">
      <c r="A27" s="11"/>
      <c r="C27" s="12"/>
      <c r="D27"/>
      <c r="E27" s="13">
        <f t="shared" si="0"/>
        <v>0</v>
      </c>
      <c r="M27" s="33"/>
    </row>
    <row r="28" spans="1:13" x14ac:dyDescent="0.3">
      <c r="A28" s="6">
        <v>3</v>
      </c>
      <c r="B28" s="7" t="s">
        <v>36</v>
      </c>
      <c r="C28" s="9"/>
      <c r="D28" s="8"/>
      <c r="E28" s="10">
        <f t="shared" si="0"/>
        <v>0</v>
      </c>
      <c r="M28" s="33"/>
    </row>
    <row r="29" spans="1:13" x14ac:dyDescent="0.3">
      <c r="A29" s="11" t="s">
        <v>6</v>
      </c>
      <c r="B29" t="s">
        <v>37</v>
      </c>
      <c r="C29" s="12">
        <v>100</v>
      </c>
      <c r="D29">
        <v>140</v>
      </c>
      <c r="E29" s="13">
        <f t="shared" si="0"/>
        <v>14000</v>
      </c>
      <c r="M29" s="33"/>
    </row>
    <row r="30" spans="1:13" x14ac:dyDescent="0.3">
      <c r="A30" s="11" t="s">
        <v>8</v>
      </c>
      <c r="B30" t="s">
        <v>38</v>
      </c>
      <c r="C30" s="12">
        <v>200</v>
      </c>
      <c r="D30">
        <v>82.5</v>
      </c>
      <c r="E30" s="13">
        <f t="shared" si="0"/>
        <v>16500</v>
      </c>
      <c r="M30" s="33"/>
    </row>
    <row r="31" spans="1:13" x14ac:dyDescent="0.3">
      <c r="A31" s="11" t="s">
        <v>10</v>
      </c>
      <c r="B31" t="s">
        <v>39</v>
      </c>
      <c r="C31" s="12"/>
      <c r="D31"/>
      <c r="E31" s="13">
        <f t="shared" si="0"/>
        <v>0</v>
      </c>
      <c r="M31" s="33"/>
    </row>
    <row r="32" spans="1:13" x14ac:dyDescent="0.3">
      <c r="A32" s="11" t="s">
        <v>12</v>
      </c>
      <c r="B32" t="s">
        <v>40</v>
      </c>
      <c r="C32" s="12"/>
      <c r="D32"/>
      <c r="E32" s="13">
        <f t="shared" si="0"/>
        <v>0</v>
      </c>
      <c r="M32" s="33"/>
    </row>
    <row r="33" spans="1:13" x14ac:dyDescent="0.3">
      <c r="A33" s="11" t="s">
        <v>14</v>
      </c>
      <c r="B33" t="s">
        <v>41</v>
      </c>
      <c r="C33" s="12">
        <v>8500</v>
      </c>
      <c r="D33">
        <v>1</v>
      </c>
      <c r="E33" s="13">
        <f t="shared" si="0"/>
        <v>8500</v>
      </c>
      <c r="M33" s="33"/>
    </row>
    <row r="34" spans="1:13" x14ac:dyDescent="0.3">
      <c r="A34" s="11" t="s">
        <v>22</v>
      </c>
      <c r="B34" t="s">
        <v>42</v>
      </c>
      <c r="C34" s="12">
        <v>500</v>
      </c>
      <c r="D34">
        <v>2</v>
      </c>
      <c r="E34" s="13">
        <f t="shared" si="0"/>
        <v>1000</v>
      </c>
      <c r="J34" s="32"/>
      <c r="M34" s="33"/>
    </row>
    <row r="35" spans="1:13" x14ac:dyDescent="0.3">
      <c r="A35" s="11" t="s">
        <v>24</v>
      </c>
      <c r="B35" t="s">
        <v>83</v>
      </c>
      <c r="C35" s="12">
        <v>3400</v>
      </c>
      <c r="D35"/>
      <c r="E35" s="13">
        <f t="shared" si="0"/>
        <v>0</v>
      </c>
      <c r="J35" s="32"/>
      <c r="M35" s="33"/>
    </row>
    <row r="36" spans="1:13" x14ac:dyDescent="0.3">
      <c r="A36" s="11" t="s">
        <v>26</v>
      </c>
      <c r="B36" t="s">
        <v>43</v>
      </c>
      <c r="C36" s="12">
        <v>2000</v>
      </c>
      <c r="D36"/>
      <c r="E36" s="13">
        <f t="shared" si="0"/>
        <v>0</v>
      </c>
      <c r="M36" s="33"/>
    </row>
    <row r="37" spans="1:13" x14ac:dyDescent="0.3">
      <c r="A37" s="11" t="s">
        <v>28</v>
      </c>
      <c r="B37" t="s">
        <v>103</v>
      </c>
      <c r="C37" s="12">
        <v>400</v>
      </c>
      <c r="D37">
        <v>1</v>
      </c>
      <c r="E37" s="13">
        <f t="shared" si="0"/>
        <v>400</v>
      </c>
      <c r="M37" s="33"/>
    </row>
    <row r="38" spans="1:13" x14ac:dyDescent="0.3">
      <c r="A38" s="11" t="s">
        <v>30</v>
      </c>
      <c r="B38" t="s">
        <v>90</v>
      </c>
      <c r="C38" s="12">
        <v>9000</v>
      </c>
      <c r="D38"/>
      <c r="E38" s="13">
        <f t="shared" si="0"/>
        <v>0</v>
      </c>
      <c r="M38" s="33"/>
    </row>
    <row r="39" spans="1:13" x14ac:dyDescent="0.3">
      <c r="A39" s="11" t="s">
        <v>32</v>
      </c>
      <c r="B39" t="s">
        <v>95</v>
      </c>
      <c r="C39" s="50">
        <v>500</v>
      </c>
      <c r="D39"/>
      <c r="E39" s="13">
        <f t="shared" si="0"/>
        <v>0</v>
      </c>
      <c r="M39" s="33"/>
    </row>
    <row r="40" spans="1:13" x14ac:dyDescent="0.3">
      <c r="C40" s="12"/>
      <c r="D40"/>
      <c r="E40" s="13">
        <f t="shared" si="0"/>
        <v>0</v>
      </c>
      <c r="M40" s="33"/>
    </row>
    <row r="41" spans="1:13" x14ac:dyDescent="0.3">
      <c r="A41" s="6">
        <v>4</v>
      </c>
      <c r="B41" s="7" t="s">
        <v>44</v>
      </c>
      <c r="C41" s="9"/>
      <c r="D41" s="8"/>
      <c r="E41" s="10">
        <f t="shared" si="0"/>
        <v>0</v>
      </c>
      <c r="M41" s="33"/>
    </row>
    <row r="42" spans="1:13" x14ac:dyDescent="0.3">
      <c r="A42" s="11" t="s">
        <v>6</v>
      </c>
      <c r="B42" t="s">
        <v>45</v>
      </c>
      <c r="C42" s="12">
        <v>700</v>
      </c>
      <c r="D42">
        <v>2</v>
      </c>
      <c r="E42" s="13">
        <f t="shared" si="0"/>
        <v>1400</v>
      </c>
      <c r="M42" s="33"/>
    </row>
    <row r="43" spans="1:13" x14ac:dyDescent="0.3">
      <c r="A43" s="11" t="s">
        <v>8</v>
      </c>
      <c r="B43" t="s">
        <v>46</v>
      </c>
      <c r="C43" s="12">
        <v>100</v>
      </c>
      <c r="D43"/>
      <c r="E43" s="13">
        <f t="shared" si="0"/>
        <v>0</v>
      </c>
      <c r="M43" s="33"/>
    </row>
    <row r="44" spans="1:13" x14ac:dyDescent="0.3">
      <c r="A44" s="11" t="s">
        <v>10</v>
      </c>
      <c r="B44" t="s">
        <v>47</v>
      </c>
      <c r="C44" s="12"/>
      <c r="E44" s="13">
        <f>D45*C44</f>
        <v>0</v>
      </c>
      <c r="M44" s="33"/>
    </row>
    <row r="45" spans="1:13" x14ac:dyDescent="0.3">
      <c r="A45" s="11" t="s">
        <v>12</v>
      </c>
      <c r="B45" t="s">
        <v>48</v>
      </c>
      <c r="C45" s="12"/>
      <c r="D45"/>
      <c r="E45" s="13">
        <f>D46*C45</f>
        <v>0</v>
      </c>
      <c r="M45" s="33"/>
    </row>
    <row r="46" spans="1:13" x14ac:dyDescent="0.3">
      <c r="A46" s="11" t="s">
        <v>14</v>
      </c>
      <c r="B46" t="s">
        <v>49</v>
      </c>
      <c r="C46" s="12"/>
      <c r="D46"/>
      <c r="E46" s="13">
        <f t="shared" ref="E46:E81" si="1">D46*C46</f>
        <v>0</v>
      </c>
      <c r="M46" s="33"/>
    </row>
    <row r="47" spans="1:13" x14ac:dyDescent="0.3">
      <c r="C47" s="12"/>
      <c r="D47"/>
      <c r="E47" s="13">
        <f t="shared" si="1"/>
        <v>0</v>
      </c>
      <c r="M47" s="33"/>
    </row>
    <row r="48" spans="1:13" x14ac:dyDescent="0.3">
      <c r="A48" s="6">
        <v>5</v>
      </c>
      <c r="B48" s="7" t="s">
        <v>50</v>
      </c>
      <c r="C48" s="9"/>
      <c r="D48" s="8"/>
      <c r="E48" s="10">
        <f t="shared" si="1"/>
        <v>0</v>
      </c>
      <c r="M48" s="33"/>
    </row>
    <row r="49" spans="1:13" x14ac:dyDescent="0.3">
      <c r="A49" s="11" t="s">
        <v>6</v>
      </c>
      <c r="B49" t="s">
        <v>51</v>
      </c>
      <c r="C49" s="12">
        <v>100</v>
      </c>
      <c r="D49">
        <v>2</v>
      </c>
      <c r="E49" s="13">
        <f t="shared" si="1"/>
        <v>200</v>
      </c>
      <c r="M49" s="33"/>
    </row>
    <row r="50" spans="1:13" x14ac:dyDescent="0.3">
      <c r="A50" s="11" t="s">
        <v>8</v>
      </c>
      <c r="B50" t="s">
        <v>52</v>
      </c>
      <c r="C50" s="12">
        <v>200</v>
      </c>
      <c r="D50">
        <v>1</v>
      </c>
      <c r="E50" s="13">
        <f t="shared" si="1"/>
        <v>200</v>
      </c>
      <c r="M50" s="33"/>
    </row>
    <row r="51" spans="1:13" x14ac:dyDescent="0.3">
      <c r="A51" s="11"/>
      <c r="C51" s="12"/>
      <c r="D51"/>
      <c r="E51" s="13">
        <f t="shared" si="1"/>
        <v>0</v>
      </c>
      <c r="M51" s="33"/>
    </row>
    <row r="52" spans="1:13" x14ac:dyDescent="0.3">
      <c r="A52" s="6">
        <v>6</v>
      </c>
      <c r="B52" s="7" t="s">
        <v>53</v>
      </c>
      <c r="C52" s="9"/>
      <c r="D52" s="8"/>
      <c r="E52" s="10">
        <f t="shared" si="1"/>
        <v>0</v>
      </c>
      <c r="M52" s="33"/>
    </row>
    <row r="53" spans="1:13" x14ac:dyDescent="0.3">
      <c r="A53" s="11" t="s">
        <v>6</v>
      </c>
      <c r="B53" s="14" t="s">
        <v>54</v>
      </c>
      <c r="C53" s="12">
        <v>10100</v>
      </c>
      <c r="D53">
        <v>1</v>
      </c>
      <c r="E53" s="13">
        <f t="shared" si="1"/>
        <v>10100</v>
      </c>
      <c r="M53" s="33"/>
    </row>
    <row r="54" spans="1:13" x14ac:dyDescent="0.3">
      <c r="A54" s="11" t="s">
        <v>8</v>
      </c>
      <c r="B54" s="14" t="s">
        <v>55</v>
      </c>
      <c r="C54" s="12">
        <v>300</v>
      </c>
      <c r="D54"/>
      <c r="E54" s="13">
        <f t="shared" si="1"/>
        <v>0</v>
      </c>
      <c r="M54" s="33"/>
    </row>
    <row r="55" spans="1:13" x14ac:dyDescent="0.3">
      <c r="A55" s="11" t="s">
        <v>10</v>
      </c>
      <c r="B55" s="14" t="s">
        <v>56</v>
      </c>
      <c r="C55" s="12">
        <v>500</v>
      </c>
      <c r="D55"/>
      <c r="E55" s="13">
        <f t="shared" si="1"/>
        <v>0</v>
      </c>
      <c r="M55" s="33"/>
    </row>
    <row r="56" spans="1:13" x14ac:dyDescent="0.3">
      <c r="A56" s="11" t="s">
        <v>12</v>
      </c>
      <c r="B56" s="14" t="s">
        <v>57</v>
      </c>
      <c r="C56" s="12">
        <v>800</v>
      </c>
      <c r="D56"/>
      <c r="E56" s="13">
        <f t="shared" si="1"/>
        <v>0</v>
      </c>
      <c r="M56" s="33"/>
    </row>
    <row r="57" spans="1:13" x14ac:dyDescent="0.3">
      <c r="A57" s="11" t="s">
        <v>14</v>
      </c>
      <c r="B57" s="14" t="s">
        <v>58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22</v>
      </c>
      <c r="B58" s="14" t="s">
        <v>59</v>
      </c>
      <c r="C58" s="12">
        <v>500</v>
      </c>
      <c r="D58">
        <v>2</v>
      </c>
      <c r="E58" s="13">
        <f t="shared" si="1"/>
        <v>1000</v>
      </c>
      <c r="M58" s="33"/>
    </row>
    <row r="59" spans="1:13" x14ac:dyDescent="0.3">
      <c r="A59" s="11" t="s">
        <v>24</v>
      </c>
      <c r="B59" s="14" t="s">
        <v>60</v>
      </c>
      <c r="C59" s="12">
        <v>1300</v>
      </c>
      <c r="D59"/>
      <c r="E59" s="13">
        <f t="shared" si="1"/>
        <v>0</v>
      </c>
      <c r="M59" s="33"/>
    </row>
    <row r="60" spans="1:13" x14ac:dyDescent="0.3">
      <c r="A60" s="11" t="s">
        <v>26</v>
      </c>
      <c r="B60" s="14" t="s">
        <v>61</v>
      </c>
      <c r="C60" s="12">
        <v>500</v>
      </c>
      <c r="D60">
        <v>4</v>
      </c>
      <c r="E60" s="13">
        <f t="shared" si="1"/>
        <v>2000</v>
      </c>
      <c r="M60" s="33"/>
    </row>
    <row r="61" spans="1:13" x14ac:dyDescent="0.3">
      <c r="A61" s="11" t="s">
        <v>28</v>
      </c>
      <c r="B61" s="14" t="s">
        <v>62</v>
      </c>
      <c r="C61" s="12">
        <v>500</v>
      </c>
      <c r="D61"/>
      <c r="E61" s="13">
        <f t="shared" si="1"/>
        <v>0</v>
      </c>
      <c r="M61" s="33"/>
    </row>
    <row r="62" spans="1:13" x14ac:dyDescent="0.3">
      <c r="A62" s="11" t="s">
        <v>30</v>
      </c>
      <c r="B62" s="14" t="s">
        <v>63</v>
      </c>
      <c r="C62" s="12">
        <v>600</v>
      </c>
      <c r="D62">
        <v>2</v>
      </c>
      <c r="E62" s="13">
        <f t="shared" si="1"/>
        <v>1200</v>
      </c>
      <c r="M62" s="33"/>
    </row>
    <row r="63" spans="1:13" x14ac:dyDescent="0.3">
      <c r="A63" s="11" t="s">
        <v>32</v>
      </c>
      <c r="B63" s="14" t="s">
        <v>64</v>
      </c>
      <c r="C63" s="12">
        <v>800</v>
      </c>
      <c r="D63"/>
      <c r="E63" s="13">
        <f t="shared" si="1"/>
        <v>0</v>
      </c>
      <c r="M63" s="33"/>
    </row>
    <row r="64" spans="1:13" x14ac:dyDescent="0.3">
      <c r="A64" s="11" t="s">
        <v>34</v>
      </c>
      <c r="B64" s="14" t="s">
        <v>65</v>
      </c>
      <c r="C64" s="12">
        <v>300</v>
      </c>
      <c r="D64"/>
      <c r="E64" s="13">
        <f t="shared" si="1"/>
        <v>0</v>
      </c>
      <c r="M64" s="33"/>
    </row>
    <row r="65" spans="1:13" x14ac:dyDescent="0.3">
      <c r="A65" s="11" t="s">
        <v>66</v>
      </c>
      <c r="B65" s="14" t="s">
        <v>67</v>
      </c>
      <c r="C65" s="12">
        <v>1</v>
      </c>
      <c r="D65"/>
      <c r="E65" s="13">
        <f t="shared" si="1"/>
        <v>0</v>
      </c>
      <c r="M65" s="33"/>
    </row>
    <row r="66" spans="1:13" x14ac:dyDescent="0.3">
      <c r="A66" s="11" t="s">
        <v>68</v>
      </c>
      <c r="B66" s="14" t="s">
        <v>69</v>
      </c>
      <c r="C66" s="12">
        <v>600</v>
      </c>
      <c r="D66"/>
      <c r="E66" s="13">
        <f t="shared" si="1"/>
        <v>0</v>
      </c>
      <c r="M66" s="33"/>
    </row>
    <row r="67" spans="1:13" x14ac:dyDescent="0.3">
      <c r="A67" s="11" t="s">
        <v>70</v>
      </c>
      <c r="B67" s="14" t="s">
        <v>71</v>
      </c>
      <c r="C67" s="12">
        <v>1200</v>
      </c>
      <c r="D67"/>
      <c r="E67" s="13">
        <f t="shared" si="1"/>
        <v>0</v>
      </c>
      <c r="M67" s="33"/>
    </row>
    <row r="68" spans="1:13" x14ac:dyDescent="0.3">
      <c r="A68" s="11" t="s">
        <v>72</v>
      </c>
      <c r="B68" s="14" t="s">
        <v>73</v>
      </c>
      <c r="C68" s="12">
        <v>1000</v>
      </c>
      <c r="D68"/>
      <c r="E68" s="13">
        <f t="shared" si="1"/>
        <v>0</v>
      </c>
      <c r="M68" s="33"/>
    </row>
    <row r="69" spans="1:13" x14ac:dyDescent="0.3">
      <c r="A69" s="11" t="s">
        <v>74</v>
      </c>
      <c r="B69" s="14" t="s">
        <v>75</v>
      </c>
      <c r="C69" s="12">
        <v>2000</v>
      </c>
      <c r="D69"/>
      <c r="E69" s="13">
        <f t="shared" si="1"/>
        <v>0</v>
      </c>
      <c r="M69" s="33"/>
    </row>
    <row r="70" spans="1:13" x14ac:dyDescent="0.3">
      <c r="A70" s="11" t="s">
        <v>79</v>
      </c>
      <c r="B70" s="14" t="s">
        <v>84</v>
      </c>
      <c r="C70" s="12">
        <f>2000/3</f>
        <v>666.66666666666663</v>
      </c>
      <c r="D70">
        <v>3</v>
      </c>
      <c r="E70" s="13">
        <f t="shared" si="1"/>
        <v>2000</v>
      </c>
      <c r="M70" s="33"/>
    </row>
    <row r="71" spans="1:13" x14ac:dyDescent="0.3">
      <c r="A71" s="11" t="s">
        <v>85</v>
      </c>
      <c r="B71" s="14" t="s">
        <v>86</v>
      </c>
      <c r="C71" s="12">
        <v>300</v>
      </c>
      <c r="D71"/>
      <c r="E71" s="13">
        <f t="shared" si="1"/>
        <v>0</v>
      </c>
      <c r="M71" s="33"/>
    </row>
    <row r="72" spans="1:13" x14ac:dyDescent="0.3">
      <c r="A72" s="11" t="s">
        <v>87</v>
      </c>
      <c r="B72" s="14" t="s">
        <v>88</v>
      </c>
      <c r="C72" s="12">
        <v>500</v>
      </c>
      <c r="D72"/>
      <c r="E72" s="13">
        <f t="shared" si="1"/>
        <v>0</v>
      </c>
      <c r="M72" s="33"/>
    </row>
    <row r="73" spans="1:13" x14ac:dyDescent="0.3">
      <c r="A73" s="11" t="s">
        <v>98</v>
      </c>
      <c r="B73" s="14" t="s">
        <v>99</v>
      </c>
      <c r="C73" s="12">
        <v>800</v>
      </c>
      <c r="D73"/>
      <c r="M73" s="33"/>
    </row>
    <row r="74" spans="1:13" x14ac:dyDescent="0.3">
      <c r="C74" s="12"/>
      <c r="D74"/>
      <c r="E74" s="13">
        <f t="shared" si="1"/>
        <v>0</v>
      </c>
      <c r="M74" s="33"/>
    </row>
    <row r="75" spans="1:13" x14ac:dyDescent="0.3">
      <c r="A75" s="15">
        <v>7</v>
      </c>
      <c r="B75" s="7" t="s">
        <v>76</v>
      </c>
      <c r="C75" s="9"/>
      <c r="D75" s="8"/>
      <c r="E75" s="10">
        <f t="shared" si="1"/>
        <v>0</v>
      </c>
      <c r="M75" s="33"/>
    </row>
    <row r="76" spans="1:13" x14ac:dyDescent="0.3">
      <c r="A76" s="11" t="s">
        <v>6</v>
      </c>
      <c r="B76" s="14" t="s">
        <v>77</v>
      </c>
      <c r="C76" s="12"/>
      <c r="D76"/>
      <c r="E76" s="13">
        <f t="shared" si="1"/>
        <v>0</v>
      </c>
      <c r="M76" s="33"/>
    </row>
    <row r="77" spans="1:13" x14ac:dyDescent="0.3">
      <c r="A77" s="11" t="s">
        <v>8</v>
      </c>
      <c r="B77" s="14" t="s">
        <v>78</v>
      </c>
      <c r="C77" s="12">
        <v>1</v>
      </c>
      <c r="D77"/>
      <c r="E77" s="13">
        <f t="shared" si="1"/>
        <v>0</v>
      </c>
      <c r="M77" s="33"/>
    </row>
    <row r="78" spans="1:13" x14ac:dyDescent="0.3">
      <c r="A78" s="11"/>
      <c r="B78" s="14"/>
      <c r="C78" s="12"/>
      <c r="D78"/>
      <c r="E78" s="13">
        <f t="shared" si="1"/>
        <v>0</v>
      </c>
      <c r="M78" s="33"/>
    </row>
    <row r="79" spans="1:13" x14ac:dyDescent="0.3">
      <c r="A79" s="15">
        <v>8</v>
      </c>
      <c r="B79" s="7" t="s">
        <v>96</v>
      </c>
      <c r="C79" s="9"/>
      <c r="D79" s="8"/>
      <c r="E79" s="10">
        <f t="shared" ref="E79" si="2">D79*C79</f>
        <v>0</v>
      </c>
      <c r="M79" s="33"/>
    </row>
    <row r="80" spans="1:13" x14ac:dyDescent="0.3">
      <c r="A80" s="47" t="s">
        <v>6</v>
      </c>
      <c r="B80" s="14" t="s">
        <v>97</v>
      </c>
      <c r="C80">
        <v>100</v>
      </c>
      <c r="E80" s="13">
        <f t="shared" si="1"/>
        <v>0</v>
      </c>
      <c r="M80" s="33"/>
    </row>
    <row r="81" spans="2:13" x14ac:dyDescent="0.3">
      <c r="E81" s="13">
        <f t="shared" si="1"/>
        <v>0</v>
      </c>
      <c r="M81" s="33"/>
    </row>
    <row r="82" spans="2:13" x14ac:dyDescent="0.3">
      <c r="M82" s="33"/>
    </row>
    <row r="83" spans="2:13" x14ac:dyDescent="0.3">
      <c r="B83" t="s">
        <v>80</v>
      </c>
      <c r="E83" s="13">
        <f>SUM(E2:E80)</f>
        <v>82250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Sales-15</vt:lpstr>
      <vt:lpstr>Sales-16</vt:lpstr>
      <vt:lpstr>Sales-17</vt:lpstr>
      <vt:lpstr>Sales-18</vt:lpstr>
      <vt:lpstr>Sales-19</vt:lpstr>
      <vt:lpstr>Sales-20</vt:lpstr>
      <vt:lpstr>Sales-21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2024-05-08T19:35:45Z</dcterms:modified>
</cp:coreProperties>
</file>
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11F75A65-4E07-43E7-A59D-0FBA34B47E1F}" xr6:coauthVersionLast="47" xr6:coauthVersionMax="47" xr10:uidLastSave="{00000000-0000-0000-0000-000000000000}"/>
  <bookViews>
    <workbookView xWindow="11424" yWindow="0" windowWidth="11712" windowHeight="12336" tabRatio="658" xr2:uid="{00000000-000D-0000-FFFF-FFFF00000000}"/>
  </bookViews>
  <sheets>
    <sheet name="Summary" sheetId="8" r:id="rId1"/>
    <sheet name="Sales-22" sheetId="1" r:id="rId2"/>
    <sheet name="Sales-23" sheetId="2" r:id="rId3"/>
    <sheet name="Sales-24" sheetId="3" r:id="rId4"/>
    <sheet name="Sales-25" sheetId="4" r:id="rId5"/>
    <sheet name="Sales-26" sheetId="5" r:id="rId6"/>
    <sheet name="Sales-27" sheetId="6" r:id="rId7"/>
    <sheet name="Sal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8" l="1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22" i="5"/>
  <c r="C5" i="4"/>
  <c r="C67" i="4"/>
  <c r="C25" i="4"/>
  <c r="E25" i="4" s="1"/>
  <c r="C22" i="4"/>
  <c r="C43" i="4"/>
  <c r="E26" i="4"/>
  <c r="E8" i="7"/>
  <c r="E22" i="7"/>
  <c r="E23" i="7"/>
  <c r="E24" i="7"/>
  <c r="E25" i="7"/>
  <c r="E26" i="7"/>
  <c r="E8" i="6"/>
  <c r="C3" i="5"/>
  <c r="E8" i="3"/>
  <c r="C25" i="3"/>
  <c r="E25" i="3" s="1"/>
  <c r="E24" i="3"/>
  <c r="C22" i="2"/>
  <c r="E8" i="1"/>
  <c r="E74" i="1"/>
  <c r="E73" i="1"/>
  <c r="C20" i="1"/>
  <c r="J82" i="8"/>
  <c r="J83" i="8"/>
  <c r="J84" i="8"/>
  <c r="E73" i="3"/>
  <c r="E73" i="2"/>
  <c r="C43" i="1"/>
  <c r="E81" i="6"/>
  <c r="E80" i="6"/>
  <c r="E81" i="5"/>
  <c r="E80" i="5"/>
  <c r="E81" i="4"/>
  <c r="E80" i="4"/>
  <c r="E81" i="3"/>
  <c r="E80" i="3"/>
  <c r="E81" i="2"/>
  <c r="E80" i="2"/>
  <c r="E81" i="1"/>
  <c r="E80" i="1"/>
  <c r="E39" i="1"/>
  <c r="E39" i="2"/>
  <c r="E39" i="3"/>
  <c r="E39" i="4"/>
  <c r="E39" i="5"/>
  <c r="E39" i="6"/>
  <c r="E82" i="7"/>
  <c r="E81" i="7"/>
  <c r="E79" i="7"/>
  <c r="E80" i="7"/>
  <c r="E39" i="7"/>
  <c r="E23" i="6"/>
  <c r="E24" i="6"/>
  <c r="E25" i="6"/>
  <c r="E26" i="6"/>
  <c r="E27" i="6"/>
  <c r="E24" i="5"/>
  <c r="E23" i="3"/>
  <c r="E26" i="2"/>
  <c r="E25" i="2"/>
  <c r="E24" i="2"/>
  <c r="E24" i="1"/>
  <c r="E25" i="1"/>
  <c r="E26" i="1"/>
  <c r="E27" i="1"/>
  <c r="E25" i="5"/>
  <c r="E26" i="3"/>
  <c r="E23" i="2"/>
  <c r="C59" i="1"/>
  <c r="E23" i="5"/>
  <c r="E24" i="4"/>
  <c r="E23" i="4"/>
  <c r="E36" i="1"/>
  <c r="E23" i="1"/>
  <c r="E36" i="2"/>
  <c r="J79" i="8" l="1"/>
  <c r="J73" i="8"/>
  <c r="J24" i="8"/>
  <c r="J39" i="8"/>
  <c r="J26" i="8"/>
  <c r="J80" i="8"/>
  <c r="J81" i="8"/>
  <c r="J23" i="8"/>
  <c r="J25" i="8"/>
  <c r="E4" i="2"/>
  <c r="E5" i="2"/>
  <c r="E6" i="2"/>
  <c r="E7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7" i="2"/>
  <c r="E28" i="2"/>
  <c r="E29" i="2"/>
  <c r="E30" i="2"/>
  <c r="E31" i="2"/>
  <c r="E32" i="2"/>
  <c r="E33" i="2"/>
  <c r="E34" i="2"/>
  <c r="E35" i="2"/>
  <c r="E37" i="2"/>
  <c r="E38" i="2"/>
  <c r="E40" i="2"/>
  <c r="E41" i="2"/>
  <c r="E42" i="2"/>
  <c r="E43" i="2"/>
  <c r="E44" i="2"/>
  <c r="E45" i="2"/>
  <c r="E46" i="2"/>
  <c r="E47" i="2"/>
  <c r="E48" i="2"/>
  <c r="E49" i="2"/>
  <c r="D49" i="8" s="1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5" i="2"/>
  <c r="E76" i="2"/>
  <c r="E77" i="2"/>
  <c r="E78" i="2"/>
  <c r="E3" i="2"/>
  <c r="E38" i="6"/>
  <c r="E37" i="6"/>
  <c r="E38" i="5"/>
  <c r="E37" i="5"/>
  <c r="E38" i="4"/>
  <c r="E37" i="4"/>
  <c r="E38" i="3"/>
  <c r="E37" i="3"/>
  <c r="E37" i="1"/>
  <c r="E38" i="1"/>
  <c r="E72" i="1"/>
  <c r="E71" i="1"/>
  <c r="E70" i="1"/>
  <c r="E72" i="3"/>
  <c r="E71" i="3"/>
  <c r="D3" i="8" l="1"/>
  <c r="D85" i="8" s="1"/>
  <c r="E78" i="7" l="1"/>
  <c r="E77" i="7"/>
  <c r="E76" i="7"/>
  <c r="E75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I49" i="8" s="1"/>
  <c r="E48" i="7"/>
  <c r="E47" i="7"/>
  <c r="E46" i="7"/>
  <c r="E45" i="7"/>
  <c r="E44" i="7"/>
  <c r="E43" i="7"/>
  <c r="E42" i="7"/>
  <c r="E41" i="7"/>
  <c r="E40" i="7"/>
  <c r="E38" i="7"/>
  <c r="J38" i="8" s="1"/>
  <c r="E37" i="7"/>
  <c r="J37" i="8" s="1"/>
  <c r="E36" i="7"/>
  <c r="E35" i="7"/>
  <c r="E34" i="7"/>
  <c r="E33" i="7"/>
  <c r="E32" i="7"/>
  <c r="E31" i="7"/>
  <c r="E30" i="7"/>
  <c r="E29" i="7"/>
  <c r="E28" i="7"/>
  <c r="E27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7" i="7"/>
  <c r="E6" i="7"/>
  <c r="E5" i="7"/>
  <c r="E4" i="7"/>
  <c r="E3" i="7"/>
  <c r="I3" i="8" s="1"/>
  <c r="E2" i="7"/>
  <c r="I85" i="8" l="1"/>
  <c r="E84" i="7"/>
  <c r="E78" i="6"/>
  <c r="E77" i="6"/>
  <c r="E76" i="6"/>
  <c r="E75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H49" i="8" s="1"/>
  <c r="E48" i="6"/>
  <c r="E47" i="6"/>
  <c r="E46" i="6"/>
  <c r="E45" i="6"/>
  <c r="E44" i="6"/>
  <c r="E43" i="6"/>
  <c r="E42" i="6"/>
  <c r="E41" i="6"/>
  <c r="E40" i="6"/>
  <c r="E36" i="6"/>
  <c r="E35" i="6"/>
  <c r="E34" i="6"/>
  <c r="E33" i="6"/>
  <c r="E32" i="6"/>
  <c r="E31" i="6"/>
  <c r="E30" i="6"/>
  <c r="E29" i="6"/>
  <c r="E28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7" i="6"/>
  <c r="E6" i="6"/>
  <c r="E5" i="6"/>
  <c r="E4" i="6"/>
  <c r="E3" i="6"/>
  <c r="H3" i="8" s="1"/>
  <c r="E2" i="6"/>
  <c r="H85" i="8" l="1"/>
  <c r="E83" i="6"/>
  <c r="E78" i="1"/>
  <c r="E77" i="1"/>
  <c r="E76" i="1"/>
  <c r="E75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5" i="1"/>
  <c r="E34" i="1"/>
  <c r="E33" i="1"/>
  <c r="E32" i="1"/>
  <c r="E31" i="1"/>
  <c r="E30" i="1"/>
  <c r="E29" i="1"/>
  <c r="E28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7" i="1"/>
  <c r="E6" i="1"/>
  <c r="E5" i="1"/>
  <c r="E4" i="1"/>
  <c r="E3" i="1"/>
  <c r="C3" i="8" s="1"/>
  <c r="E2" i="1"/>
  <c r="C49" i="8" l="1"/>
  <c r="C85" i="8" s="1"/>
  <c r="E83" i="1"/>
  <c r="E78" i="5"/>
  <c r="E77" i="5"/>
  <c r="E76" i="5"/>
  <c r="E75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G49" i="8" s="1"/>
  <c r="E48" i="5"/>
  <c r="E47" i="5"/>
  <c r="E46" i="5"/>
  <c r="E45" i="5"/>
  <c r="E44" i="5"/>
  <c r="E43" i="5"/>
  <c r="E42" i="5"/>
  <c r="E41" i="5"/>
  <c r="E40" i="5"/>
  <c r="E36" i="5"/>
  <c r="E35" i="5"/>
  <c r="E34" i="5"/>
  <c r="E33" i="5"/>
  <c r="E32" i="5"/>
  <c r="E31" i="5"/>
  <c r="E30" i="5"/>
  <c r="E29" i="5"/>
  <c r="E28" i="5"/>
  <c r="E27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7" i="5"/>
  <c r="E6" i="5"/>
  <c r="E5" i="5"/>
  <c r="E4" i="5"/>
  <c r="E3" i="5"/>
  <c r="G3" i="8" s="1"/>
  <c r="E2" i="5"/>
  <c r="G85" i="8" l="1"/>
  <c r="E83" i="5"/>
  <c r="E78" i="4"/>
  <c r="E77" i="4"/>
  <c r="E76" i="4"/>
  <c r="E75" i="4"/>
  <c r="E72" i="4"/>
  <c r="J72" i="8" s="1"/>
  <c r="E71" i="4"/>
  <c r="J71" i="8" s="1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F49" i="8" s="1"/>
  <c r="E48" i="4"/>
  <c r="E47" i="4"/>
  <c r="E46" i="4"/>
  <c r="E45" i="4"/>
  <c r="E44" i="4"/>
  <c r="E43" i="4"/>
  <c r="E42" i="4"/>
  <c r="E41" i="4"/>
  <c r="E40" i="4"/>
  <c r="E36" i="4"/>
  <c r="E35" i="4"/>
  <c r="E34" i="4"/>
  <c r="E33" i="4"/>
  <c r="E32" i="4"/>
  <c r="E31" i="4"/>
  <c r="E30" i="4"/>
  <c r="E29" i="4"/>
  <c r="E28" i="4"/>
  <c r="E27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7" i="4"/>
  <c r="E6" i="4"/>
  <c r="E5" i="4"/>
  <c r="E4" i="4"/>
  <c r="E3" i="4"/>
  <c r="F3" i="8" s="1"/>
  <c r="E2" i="4"/>
  <c r="E83" i="4" l="1"/>
  <c r="E78" i="3"/>
  <c r="J78" i="8" s="1"/>
  <c r="E77" i="3"/>
  <c r="J77" i="8" s="1"/>
  <c r="E76" i="3"/>
  <c r="J76" i="8" s="1"/>
  <c r="E75" i="3"/>
  <c r="J75" i="8" s="1"/>
  <c r="E70" i="3"/>
  <c r="J70" i="8" s="1"/>
  <c r="E69" i="3"/>
  <c r="J69" i="8" s="1"/>
  <c r="E68" i="3"/>
  <c r="J68" i="8" s="1"/>
  <c r="E67" i="3"/>
  <c r="J67" i="8" s="1"/>
  <c r="E66" i="3"/>
  <c r="J66" i="8" s="1"/>
  <c r="E65" i="3"/>
  <c r="J65" i="8" s="1"/>
  <c r="E64" i="3"/>
  <c r="J64" i="8" s="1"/>
  <c r="E63" i="3"/>
  <c r="J63" i="8" s="1"/>
  <c r="E62" i="3"/>
  <c r="J62" i="8" s="1"/>
  <c r="E61" i="3"/>
  <c r="J61" i="8" s="1"/>
  <c r="E60" i="3"/>
  <c r="J60" i="8" s="1"/>
  <c r="E59" i="3"/>
  <c r="J59" i="8" s="1"/>
  <c r="E58" i="3"/>
  <c r="J58" i="8" s="1"/>
  <c r="E57" i="3"/>
  <c r="J57" i="8" s="1"/>
  <c r="E56" i="3"/>
  <c r="J56" i="8" s="1"/>
  <c r="E55" i="3"/>
  <c r="J55" i="8" s="1"/>
  <c r="E54" i="3"/>
  <c r="J54" i="8" s="1"/>
  <c r="E53" i="3"/>
  <c r="J53" i="8" s="1"/>
  <c r="E52" i="3"/>
  <c r="J52" i="8" s="1"/>
  <c r="E51" i="3"/>
  <c r="J51" i="8" s="1"/>
  <c r="E50" i="3"/>
  <c r="J50" i="8" s="1"/>
  <c r="E49" i="3"/>
  <c r="E48" i="3"/>
  <c r="J48" i="8" s="1"/>
  <c r="E47" i="3"/>
  <c r="J47" i="8" s="1"/>
  <c r="E46" i="3"/>
  <c r="J46" i="8" s="1"/>
  <c r="E45" i="3"/>
  <c r="J45" i="8" s="1"/>
  <c r="E44" i="3"/>
  <c r="J44" i="8" s="1"/>
  <c r="E43" i="3"/>
  <c r="J43" i="8" s="1"/>
  <c r="E42" i="3"/>
  <c r="J42" i="8" s="1"/>
  <c r="E41" i="3"/>
  <c r="J41" i="8" s="1"/>
  <c r="E40" i="3"/>
  <c r="J40" i="8" s="1"/>
  <c r="E36" i="3"/>
  <c r="J36" i="8" s="1"/>
  <c r="E35" i="3"/>
  <c r="J35" i="8" s="1"/>
  <c r="E34" i="3"/>
  <c r="J34" i="8" s="1"/>
  <c r="E33" i="3"/>
  <c r="J33" i="8" s="1"/>
  <c r="E32" i="3"/>
  <c r="J32" i="8" s="1"/>
  <c r="E31" i="3"/>
  <c r="J31" i="8" s="1"/>
  <c r="E30" i="3"/>
  <c r="J30" i="8" s="1"/>
  <c r="E29" i="3"/>
  <c r="J29" i="8" s="1"/>
  <c r="E28" i="3"/>
  <c r="J28" i="8" s="1"/>
  <c r="E27" i="3"/>
  <c r="J27" i="8" s="1"/>
  <c r="E22" i="3"/>
  <c r="J22" i="8" s="1"/>
  <c r="E21" i="3"/>
  <c r="J21" i="8" s="1"/>
  <c r="E20" i="3"/>
  <c r="J20" i="8" s="1"/>
  <c r="E19" i="3"/>
  <c r="J19" i="8" s="1"/>
  <c r="E18" i="3"/>
  <c r="J18" i="8" s="1"/>
  <c r="E17" i="3"/>
  <c r="J17" i="8" s="1"/>
  <c r="E16" i="3"/>
  <c r="J16" i="8" s="1"/>
  <c r="E15" i="3"/>
  <c r="J15" i="8" s="1"/>
  <c r="E14" i="3"/>
  <c r="J14" i="8" s="1"/>
  <c r="E13" i="3"/>
  <c r="J13" i="8" s="1"/>
  <c r="E12" i="3"/>
  <c r="J12" i="8" s="1"/>
  <c r="E11" i="3"/>
  <c r="J11" i="8" s="1"/>
  <c r="E10" i="3"/>
  <c r="J10" i="8" s="1"/>
  <c r="E9" i="3"/>
  <c r="J9" i="8" s="1"/>
  <c r="E7" i="3"/>
  <c r="J7" i="8" s="1"/>
  <c r="E6" i="3"/>
  <c r="J6" i="8" s="1"/>
  <c r="E5" i="3"/>
  <c r="E4" i="3"/>
  <c r="J4" i="8" s="1"/>
  <c r="E3" i="3"/>
  <c r="E2" i="3"/>
  <c r="E49" i="8" l="1"/>
  <c r="J49" i="8" s="1"/>
  <c r="J5" i="8"/>
  <c r="E83" i="3"/>
  <c r="F85" i="8"/>
  <c r="E3" i="8"/>
  <c r="E83" i="2"/>
  <c r="J3" i="8" l="1"/>
  <c r="E85" i="8"/>
  <c r="J85" i="8" s="1"/>
</calcChain>
</file>

<file path=xl/sharedStrings.xml><?xml version="1.0" encoding="utf-8"?>
<sst xmlns="http://schemas.openxmlformats.org/spreadsheetml/2006/main" count="1152" uniqueCount="102">
  <si>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</si>
  <si>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</si>
  <si>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</si>
  <si>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</si>
  <si>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</si>
  <si>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</si>
  <si>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</si>
  <si>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</si>
  <si>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</si>
  <si>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</si>
  <si>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</si>
  <si>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</si>
  <si>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</si>
  <si>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</si>
  <si>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</si>
  <si>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</si>
  <si>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</si>
  <si>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</si>
  <si>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</si>
  <si>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</si>
  <si>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</si>
  <si>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</si>
  <si>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</si>
  <si>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</si>
  <si>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</si>
  <si>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</si>
  <si>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</si>
  <si>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</si>
  <si>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</si>
  <si>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</si>
  <si>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</si>
  <si>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</si>
  <si>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</si>
  <si>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</si>
  <si>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</si>
  <si>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</si>
  <si>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</si>
  <si>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</si>
  <si>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</si>
  <si>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</si>
  <si>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</si>
  <si>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</si>
  <si>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</si>
  <si>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</si>
  <si>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</si>
  <si>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</si>
  <si>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</si>
  <si>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</si>
  <si>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</si>
  <si>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</si>
  <si>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</si>
  <si>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</si>
  <si>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</si>
  <si>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</si>
  <si>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</si>
  <si>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</si>
  <si>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</si>
  <si>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</si>
  <si>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</si>
  <si>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</si>
  <si>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</si>
  <si>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</si>
  <si>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</si>
  <si>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</si>
  <si>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</si>
  <si>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</si>
  <si>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</si>
  <si>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</si>
  <si>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</si>
  <si>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</si>
  <si>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</si>
  <si>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</si>
  <si>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</si>
  <si>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</si>
  <si>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</si>
  <si>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</si>
  <si>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</si>
  <si>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</si>
  <si>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</si>
  <si>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</si>
  <si>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</si>
  <si>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</si>
  <si>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</si>
  <si>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</si>
  <si>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</si>
  <si>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</si>
  <si>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</si>
  <si>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</si>
  <si>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</si>
  <si>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</si>
  <si>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</si>
  <si>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</si>
  <si>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</si>
  <si>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</si>
  <si>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</si>
  <si>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</si>
  <si>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</si>
  <si>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</si>
  <si>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</si>
  <si>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</si>
  <si>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v</t>
  </si>
  <si>
    <t>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</si>
</sst>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  <xf numFmtId="11" fontId="0" fillId="0" borderId="0" xfId="0" applyNumberFormat="1"/>
    <xf numFmtId="0" fontId="6" fillId="0" borderId="0" xfId="0" applyFont="1" applyAlignment="1">
      <alignment horizontal="center" vertic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5"/>
  <sheetViews>
    <sheetView tabSelected="1" view="pageBreakPreview" topLeftCell="B59" zoomScale="76" zoomScaleNormal="100" zoomScaleSheetLayoutView="106" workbookViewId="0">
      <selection activeCell="C49" sqref="C49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4">
        <v>45344</v>
      </c>
      <c r="D1" s="34">
        <v>45345</v>
      </c>
      <c r="E1" s="34">
        <v>45346</v>
      </c>
      <c r="F1" s="34">
        <v>45347</v>
      </c>
      <c r="G1" s="34">
        <v>45348</v>
      </c>
      <c r="H1" s="34">
        <v>45349</v>
      </c>
      <c r="I1" s="34">
        <v>45350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5">
        <f>'Sales-22'!E3</f>
        <v>2800</v>
      </c>
      <c r="D3" s="35">
        <f>'Sales-23'!E3</f>
        <v>0</v>
      </c>
      <c r="E3" s="35">
        <f>'Sales-24'!E3</f>
        <v>0</v>
      </c>
      <c r="F3" s="35">
        <f>'Sales-25'!E3</f>
        <v>2800</v>
      </c>
      <c r="G3" s="35">
        <f>'Sales-26'!E3</f>
        <v>5300</v>
      </c>
      <c r="H3" s="35">
        <f>'Sales-27'!E3</f>
        <v>1400</v>
      </c>
      <c r="I3" s="35">
        <f>'Sales-28'!E3</f>
        <v>0</v>
      </c>
      <c r="J3" s="33">
        <f>SUM(C3:I3)</f>
        <v>12300</v>
      </c>
      <c r="O3" s="31"/>
    </row>
    <row r="4" spans="1:15" ht="15" thickBot="1" x14ac:dyDescent="0.35">
      <c r="A4" s="25" t="s">
        <v>8</v>
      </c>
      <c r="B4" s="26" t="s">
        <v>9</v>
      </c>
      <c r="C4" s="35">
        <f>'Sales-22'!E4</f>
        <v>1400</v>
      </c>
      <c r="D4" s="35">
        <f>'Sales-23'!E4</f>
        <v>1400</v>
      </c>
      <c r="E4" s="35">
        <f>'Sales-24'!E4</f>
        <v>0</v>
      </c>
      <c r="F4" s="35">
        <f>'Sales-25'!E4</f>
        <v>4900</v>
      </c>
      <c r="G4" s="35">
        <f>'Sales-26'!E4</f>
        <v>0</v>
      </c>
      <c r="H4" s="35">
        <f>'Sales-27'!E4</f>
        <v>700</v>
      </c>
      <c r="I4" s="35">
        <f>'Sales-28'!E4</f>
        <v>0</v>
      </c>
      <c r="J4" s="33">
        <f t="shared" ref="J4:J68" si="0">SUM(C4:I4)</f>
        <v>8400</v>
      </c>
    </row>
    <row r="5" spans="1:15" ht="15" thickBot="1" x14ac:dyDescent="0.35">
      <c r="A5" s="25" t="s">
        <v>10</v>
      </c>
      <c r="B5" s="26" t="s">
        <v>11</v>
      </c>
      <c r="C5" s="35">
        <f>'Sales-22'!E5</f>
        <v>0</v>
      </c>
      <c r="D5" s="35">
        <f>'Sales-23'!E5</f>
        <v>3600</v>
      </c>
      <c r="E5" s="35">
        <f>'Sales-24'!E5</f>
        <v>900</v>
      </c>
      <c r="F5" s="35">
        <f>'Sales-25'!E5</f>
        <v>8800</v>
      </c>
      <c r="G5" s="35">
        <f>'Sales-26'!E5</f>
        <v>0</v>
      </c>
      <c r="H5" s="35">
        <f>'Sales-27'!E5</f>
        <v>900</v>
      </c>
      <c r="I5" s="35">
        <f>'Sales-28'!E5</f>
        <v>900</v>
      </c>
      <c r="J5" s="33">
        <f t="shared" si="0"/>
        <v>15100</v>
      </c>
    </row>
    <row r="6" spans="1:15" ht="15" thickBot="1" x14ac:dyDescent="0.35">
      <c r="A6" s="25" t="s">
        <v>12</v>
      </c>
      <c r="B6" s="26" t="s">
        <v>13</v>
      </c>
      <c r="C6" s="35">
        <f>'Sales-22'!E6</f>
        <v>3000</v>
      </c>
      <c r="D6" s="35">
        <f>'Sales-23'!E6</f>
        <v>1000</v>
      </c>
      <c r="E6" s="35">
        <f>'Sales-24'!E6</f>
        <v>1000</v>
      </c>
      <c r="F6" s="35">
        <f>'Sales-25'!E6</f>
        <v>4000</v>
      </c>
      <c r="G6" s="35">
        <f>'Sales-26'!E6</f>
        <v>3000</v>
      </c>
      <c r="H6" s="35">
        <f>'Sales-27'!E6</f>
        <v>7000</v>
      </c>
      <c r="I6" s="35">
        <f>'Sales-28'!E6</f>
        <v>0</v>
      </c>
      <c r="J6" s="33">
        <f t="shared" si="0"/>
        <v>19000</v>
      </c>
    </row>
    <row r="7" spans="1:15" ht="15" thickBot="1" x14ac:dyDescent="0.35">
      <c r="A7" s="25" t="s">
        <v>14</v>
      </c>
      <c r="B7" s="26" t="s">
        <v>15</v>
      </c>
      <c r="C7" s="35">
        <f>'Sales-22'!E7</f>
        <v>0</v>
      </c>
      <c r="D7" s="35">
        <f>'Sales-23'!E7</f>
        <v>0</v>
      </c>
      <c r="E7" s="35">
        <f>'Sales-24'!E7</f>
        <v>0</v>
      </c>
      <c r="F7" s="35">
        <f>'Sales-25'!E7</f>
        <v>0</v>
      </c>
      <c r="G7" s="35">
        <f>'Sales-26'!E7</f>
        <v>0</v>
      </c>
      <c r="H7" s="35">
        <f>'Sales-27'!E7</f>
        <v>0</v>
      </c>
      <c r="I7" s="35">
        <f>'Sales-28'!E7</f>
        <v>0</v>
      </c>
      <c r="J7" s="33">
        <f t="shared" si="0"/>
        <v>0</v>
      </c>
    </row>
    <row r="8" spans="1:15" ht="15" thickBot="1" x14ac:dyDescent="0.35">
      <c r="A8" s="25" t="s">
        <v>22</v>
      </c>
      <c r="B8" s="26" t="s">
        <v>63</v>
      </c>
      <c r="C8" s="35">
        <f>'Sales-22'!E8</f>
        <v>2400</v>
      </c>
      <c r="D8" s="35">
        <f>'Sales-23'!E8</f>
        <v>0</v>
      </c>
      <c r="E8" s="35">
        <f>'Sales-24'!E8</f>
        <v>1000</v>
      </c>
      <c r="F8" s="35">
        <f>'Sales-25'!E8</f>
        <v>0</v>
      </c>
      <c r="G8" s="35">
        <f>'Sales-26'!E8</f>
        <v>0</v>
      </c>
      <c r="H8" s="35">
        <f>'Sales-27'!E8</f>
        <v>1000</v>
      </c>
      <c r="I8" s="35">
        <f>'Sales-28'!E8</f>
        <v>3000</v>
      </c>
      <c r="J8" s="33"/>
    </row>
    <row r="9" spans="1:15" ht="15" thickBot="1" x14ac:dyDescent="0.35">
      <c r="A9" s="28"/>
      <c r="B9" s="26"/>
      <c r="C9" s="35">
        <f>'Sales-22'!E9</f>
        <v>0</v>
      </c>
      <c r="D9" s="35">
        <f>'Sales-23'!E9</f>
        <v>0</v>
      </c>
      <c r="E9" s="35">
        <f>'Sales-24'!E9</f>
        <v>0</v>
      </c>
      <c r="F9" s="35">
        <f>'Sales-25'!E9</f>
        <v>0</v>
      </c>
      <c r="G9" s="35">
        <f>'Sales-26'!E9</f>
        <v>0</v>
      </c>
      <c r="H9" s="35">
        <f>'Sales-27'!E9</f>
        <v>0</v>
      </c>
      <c r="I9" s="35">
        <f>'Sales-28'!E9</f>
        <v>0</v>
      </c>
      <c r="J9" s="33">
        <f t="shared" si="0"/>
        <v>0</v>
      </c>
    </row>
    <row r="10" spans="1:15" ht="15" thickBot="1" x14ac:dyDescent="0.35">
      <c r="A10" s="21">
        <v>2</v>
      </c>
      <c r="B10" s="37" t="s">
        <v>16</v>
      </c>
      <c r="C10" s="35">
        <f>'Sales-22'!E10</f>
        <v>0</v>
      </c>
      <c r="D10" s="35">
        <f>'Sales-23'!E10</f>
        <v>0</v>
      </c>
      <c r="E10" s="35">
        <f>'Sales-24'!E10</f>
        <v>0</v>
      </c>
      <c r="F10" s="35">
        <f>'Sales-25'!E10</f>
        <v>0</v>
      </c>
      <c r="G10" s="35">
        <f>'Sales-26'!E10</f>
        <v>0</v>
      </c>
      <c r="H10" s="35">
        <f>'Sales-27'!E10</f>
        <v>0</v>
      </c>
      <c r="I10" s="35">
        <f>'Sales-28'!E10</f>
        <v>0</v>
      </c>
      <c r="J10" s="33">
        <f t="shared" si="0"/>
        <v>0</v>
      </c>
    </row>
    <row r="11" spans="1:15" ht="15" thickBot="1" x14ac:dyDescent="0.35">
      <c r="A11" s="25" t="s">
        <v>6</v>
      </c>
      <c r="B11" s="26" t="s">
        <v>17</v>
      </c>
      <c r="C11" s="35">
        <f>'Sales-22'!E11</f>
        <v>0</v>
      </c>
      <c r="D11" s="35">
        <f>'Sales-23'!E11</f>
        <v>0</v>
      </c>
      <c r="E11" s="35">
        <f>'Sales-24'!E11</f>
        <v>600</v>
      </c>
      <c r="F11" s="35">
        <f>'Sales-25'!E11</f>
        <v>6900</v>
      </c>
      <c r="G11" s="35">
        <f>'Sales-26'!E11</f>
        <v>0</v>
      </c>
      <c r="H11" s="35">
        <f>'Sales-27'!E11</f>
        <v>1800</v>
      </c>
      <c r="I11" s="35">
        <f>'Sales-28'!E11</f>
        <v>600</v>
      </c>
      <c r="J11" s="33">
        <f t="shared" si="0"/>
        <v>9900</v>
      </c>
    </row>
    <row r="12" spans="1:15" ht="15" thickBot="1" x14ac:dyDescent="0.35">
      <c r="A12" s="25" t="s">
        <v>8</v>
      </c>
      <c r="B12" s="26" t="s">
        <v>18</v>
      </c>
      <c r="C12" s="35">
        <f>'Sales-22'!E12</f>
        <v>400</v>
      </c>
      <c r="D12" s="35">
        <f>'Sales-23'!E12</f>
        <v>1200</v>
      </c>
      <c r="E12" s="35">
        <f>'Sales-24'!E12</f>
        <v>0</v>
      </c>
      <c r="F12" s="35">
        <f>'Sales-25'!E12</f>
        <v>400</v>
      </c>
      <c r="G12" s="35">
        <f>'Sales-26'!E12</f>
        <v>0</v>
      </c>
      <c r="H12" s="35">
        <f>'Sales-27'!E12</f>
        <v>0</v>
      </c>
      <c r="I12" s="35">
        <f>'Sales-28'!E12</f>
        <v>0</v>
      </c>
      <c r="J12" s="33">
        <f t="shared" si="0"/>
        <v>2000</v>
      </c>
      <c r="O12" s="31"/>
    </row>
    <row r="13" spans="1:15" ht="15" thickBot="1" x14ac:dyDescent="0.35">
      <c r="A13" s="25" t="s">
        <v>10</v>
      </c>
      <c r="B13" s="26" t="s">
        <v>19</v>
      </c>
      <c r="C13" s="35">
        <f>'Sales-22'!E13</f>
        <v>0</v>
      </c>
      <c r="D13" s="35">
        <f>'Sales-23'!E13</f>
        <v>0</v>
      </c>
      <c r="E13" s="35">
        <f>'Sales-24'!E13</f>
        <v>0</v>
      </c>
      <c r="F13" s="35">
        <f>'Sales-25'!E13</f>
        <v>0</v>
      </c>
      <c r="G13" s="35">
        <f>'Sales-26'!E13</f>
        <v>0</v>
      </c>
      <c r="H13" s="35">
        <f>'Sales-27'!E13</f>
        <v>0</v>
      </c>
      <c r="I13" s="35">
        <f>'Sales-28'!E13</f>
        <v>0</v>
      </c>
      <c r="J13" s="33">
        <f t="shared" si="0"/>
        <v>0</v>
      </c>
    </row>
    <row r="14" spans="1:15" ht="15" thickBot="1" x14ac:dyDescent="0.35">
      <c r="A14" s="25" t="s">
        <v>12</v>
      </c>
      <c r="B14" s="26" t="s">
        <v>20</v>
      </c>
      <c r="C14" s="35">
        <f>'Sales-22'!E14</f>
        <v>0</v>
      </c>
      <c r="D14" s="35">
        <f>'Sales-23'!E14</f>
        <v>0</v>
      </c>
      <c r="E14" s="35">
        <f>'Sales-24'!E14</f>
        <v>0</v>
      </c>
      <c r="F14" s="35">
        <f>'Sales-25'!E14</f>
        <v>0</v>
      </c>
      <c r="G14" s="35">
        <f>'Sales-26'!E14</f>
        <v>0</v>
      </c>
      <c r="H14" s="35">
        <f>'Sales-27'!E14</f>
        <v>0</v>
      </c>
      <c r="I14" s="35">
        <f>'Sales-28'!E14</f>
        <v>0</v>
      </c>
      <c r="J14" s="33">
        <f t="shared" si="0"/>
        <v>0</v>
      </c>
    </row>
    <row r="15" spans="1:15" ht="15" thickBot="1" x14ac:dyDescent="0.35">
      <c r="A15" s="25" t="s">
        <v>14</v>
      </c>
      <c r="B15" s="26" t="s">
        <v>21</v>
      </c>
      <c r="C15" s="35">
        <f>'Sales-22'!E15</f>
        <v>3000</v>
      </c>
      <c r="D15" s="35">
        <f>'Sales-23'!E15</f>
        <v>1500</v>
      </c>
      <c r="E15" s="35">
        <f>'Sales-24'!E15</f>
        <v>4500</v>
      </c>
      <c r="F15" s="35">
        <f>'Sales-25'!E15</f>
        <v>0</v>
      </c>
      <c r="G15" s="35">
        <f>'Sales-26'!E15</f>
        <v>3000</v>
      </c>
      <c r="H15" s="35">
        <f>'Sales-27'!E15</f>
        <v>3000</v>
      </c>
      <c r="I15" s="35">
        <f>'Sales-28'!E15</f>
        <v>1500</v>
      </c>
      <c r="J15" s="33">
        <f t="shared" si="0"/>
        <v>16500</v>
      </c>
    </row>
    <row r="16" spans="1:15" ht="15" thickBot="1" x14ac:dyDescent="0.35">
      <c r="A16" s="25" t="s">
        <v>22</v>
      </c>
      <c r="B16" s="26" t="s">
        <v>23</v>
      </c>
      <c r="C16" s="35">
        <f>'Sales-22'!E16</f>
        <v>0</v>
      </c>
      <c r="D16" s="35">
        <f>'Sales-23'!E16</f>
        <v>0</v>
      </c>
      <c r="E16" s="35">
        <f>'Sales-24'!E16</f>
        <v>1500</v>
      </c>
      <c r="F16" s="35">
        <f>'Sales-25'!E16</f>
        <v>4500</v>
      </c>
      <c r="G16" s="35">
        <f>'Sales-26'!E16</f>
        <v>0</v>
      </c>
      <c r="H16" s="35">
        <f>'Sales-27'!E16</f>
        <v>3500</v>
      </c>
      <c r="I16" s="35">
        <f>'Sales-28'!E16</f>
        <v>500</v>
      </c>
      <c r="J16" s="33">
        <f t="shared" si="0"/>
        <v>10000</v>
      </c>
    </row>
    <row r="17" spans="1:15" ht="15" thickBot="1" x14ac:dyDescent="0.35">
      <c r="A17" s="25" t="s">
        <v>24</v>
      </c>
      <c r="B17" s="26" t="s">
        <v>25</v>
      </c>
      <c r="C17" s="35">
        <f>'Sales-22'!E17</f>
        <v>1200</v>
      </c>
      <c r="D17" s="35">
        <f>'Sales-23'!E17</f>
        <v>400</v>
      </c>
      <c r="E17" s="35">
        <f>'Sales-24'!E17</f>
        <v>1200</v>
      </c>
      <c r="F17" s="35">
        <f>'Sales-25'!E17</f>
        <v>1600</v>
      </c>
      <c r="G17" s="35">
        <f>'Sales-26'!E17</f>
        <v>1200</v>
      </c>
      <c r="H17" s="35">
        <f>'Sales-27'!E17</f>
        <v>800</v>
      </c>
      <c r="I17" s="35">
        <f>'Sales-28'!E17</f>
        <v>2000</v>
      </c>
      <c r="J17" s="33">
        <f t="shared" si="0"/>
        <v>8400</v>
      </c>
      <c r="O17" s="31"/>
    </row>
    <row r="18" spans="1:15" ht="15" thickBot="1" x14ac:dyDescent="0.35">
      <c r="A18" s="25" t="s">
        <v>26</v>
      </c>
      <c r="B18" s="26" t="s">
        <v>27</v>
      </c>
      <c r="C18" s="35">
        <f>'Sales-22'!E18</f>
        <v>0</v>
      </c>
      <c r="D18" s="35">
        <f>'Sales-23'!E18</f>
        <v>0</v>
      </c>
      <c r="E18" s="35">
        <f>'Sales-24'!E18</f>
        <v>0</v>
      </c>
      <c r="F18" s="35">
        <f>'Sales-25'!E18</f>
        <v>0</v>
      </c>
      <c r="G18" s="35">
        <f>'Sales-26'!E18</f>
        <v>0</v>
      </c>
      <c r="H18" s="35">
        <f>'Sales-27'!E18</f>
        <v>0</v>
      </c>
      <c r="I18" s="35">
        <f>'Sales-28'!E18</f>
        <v>0</v>
      </c>
      <c r="J18" s="33">
        <f t="shared" si="0"/>
        <v>0</v>
      </c>
    </row>
    <row r="19" spans="1:15" ht="15" thickBot="1" x14ac:dyDescent="0.35">
      <c r="A19" s="25" t="s">
        <v>28</v>
      </c>
      <c r="B19" s="26" t="s">
        <v>29</v>
      </c>
      <c r="C19" s="35">
        <f>'Sales-22'!E19</f>
        <v>800</v>
      </c>
      <c r="D19" s="35">
        <f>'Sales-23'!E19</f>
        <v>400</v>
      </c>
      <c r="E19" s="35">
        <f>'Sales-24'!E19</f>
        <v>800</v>
      </c>
      <c r="F19" s="35">
        <f>'Sales-25'!E19</f>
        <v>400</v>
      </c>
      <c r="G19" s="35">
        <f>'Sales-26'!E19</f>
        <v>1200</v>
      </c>
      <c r="H19" s="35">
        <f>'Sales-27'!E19</f>
        <v>800</v>
      </c>
      <c r="I19" s="35">
        <f>'Sales-28'!E19</f>
        <v>400</v>
      </c>
      <c r="J19" s="33">
        <f t="shared" si="0"/>
        <v>4800</v>
      </c>
    </row>
    <row r="20" spans="1:15" ht="15" thickBot="1" x14ac:dyDescent="0.35">
      <c r="A20" s="25" t="s">
        <v>30</v>
      </c>
      <c r="B20" s="26" t="s">
        <v>31</v>
      </c>
      <c r="C20" s="35">
        <f>'Sales-22'!E20</f>
        <v>5300</v>
      </c>
      <c r="D20" s="35">
        <f>'Sales-23'!E20</f>
        <v>2000</v>
      </c>
      <c r="E20" s="35">
        <f>'Sales-24'!E20</f>
        <v>0</v>
      </c>
      <c r="F20" s="35">
        <f>'Sales-25'!E20</f>
        <v>5000</v>
      </c>
      <c r="G20" s="35">
        <f>'Sales-26'!E20</f>
        <v>0</v>
      </c>
      <c r="H20" s="35">
        <f>'Sales-27'!E20</f>
        <v>2000</v>
      </c>
      <c r="I20" s="35">
        <f>'Sales-28'!E20</f>
        <v>0</v>
      </c>
      <c r="J20" s="33">
        <f t="shared" si="0"/>
        <v>14300</v>
      </c>
    </row>
    <row r="21" spans="1:15" ht="15" thickBot="1" x14ac:dyDescent="0.35">
      <c r="A21" s="25" t="s">
        <v>32</v>
      </c>
      <c r="B21" s="26" t="s">
        <v>33</v>
      </c>
      <c r="C21" s="35">
        <f>'Sales-22'!E21</f>
        <v>1400</v>
      </c>
      <c r="D21" s="35">
        <f>'Sales-23'!E21</f>
        <v>1400</v>
      </c>
      <c r="E21" s="35">
        <f>'Sales-24'!E21</f>
        <v>1600</v>
      </c>
      <c r="F21" s="35">
        <f>'Sales-25'!E21</f>
        <v>3000</v>
      </c>
      <c r="G21" s="35">
        <f>'Sales-26'!E21</f>
        <v>1800</v>
      </c>
      <c r="H21" s="35">
        <f>'Sales-27'!E21</f>
        <v>1000</v>
      </c>
      <c r="I21" s="35">
        <f>'Sales-28'!E21</f>
        <v>1400</v>
      </c>
      <c r="J21" s="33">
        <f t="shared" si="0"/>
        <v>11600</v>
      </c>
    </row>
    <row r="22" spans="1:15" ht="15" thickBot="1" x14ac:dyDescent="0.35">
      <c r="A22" s="25" t="s">
        <v>34</v>
      </c>
      <c r="B22" s="26" t="s">
        <v>35</v>
      </c>
      <c r="C22" s="35">
        <f>'Sales-22'!E22</f>
        <v>800</v>
      </c>
      <c r="D22" s="35">
        <f>'Sales-23'!E22</f>
        <v>1400</v>
      </c>
      <c r="E22" s="35">
        <f>'Sales-24'!E22</f>
        <v>500</v>
      </c>
      <c r="F22" s="35">
        <f>'Sales-25'!E22</f>
        <v>4500</v>
      </c>
      <c r="G22" s="35">
        <f>'Sales-26'!E22</f>
        <v>3500</v>
      </c>
      <c r="H22" s="35">
        <f>'Sales-27'!E22</f>
        <v>1500</v>
      </c>
      <c r="I22" s="35">
        <f>'Sales-28'!E22</f>
        <v>500</v>
      </c>
      <c r="J22" s="33">
        <f t="shared" si="0"/>
        <v>12700</v>
      </c>
    </row>
    <row r="23" spans="1:15" ht="15" thickBot="1" x14ac:dyDescent="0.35">
      <c r="A23" s="25" t="s">
        <v>66</v>
      </c>
      <c r="B23" s="26" t="s">
        <v>91</v>
      </c>
      <c r="C23" s="35">
        <f>'Sales-22'!E23</f>
        <v>400</v>
      </c>
      <c r="D23" s="35">
        <f>'Sales-23'!E23</f>
        <v>0</v>
      </c>
      <c r="E23" s="35">
        <f>'Sales-24'!E23</f>
        <v>400</v>
      </c>
      <c r="F23" s="35">
        <f>'Sales-25'!E23</f>
        <v>600</v>
      </c>
      <c r="G23" s="35">
        <f>'Sales-26'!E23</f>
        <v>300</v>
      </c>
      <c r="H23" s="35">
        <f>'Sales-27'!E23</f>
        <v>0</v>
      </c>
      <c r="I23" s="35">
        <f>'Sales-28'!E23</f>
        <v>0</v>
      </c>
      <c r="J23" s="33">
        <f t="shared" si="0"/>
        <v>1700</v>
      </c>
    </row>
    <row r="24" spans="1:15" ht="15" thickBot="1" x14ac:dyDescent="0.35">
      <c r="A24" s="25" t="s">
        <v>68</v>
      </c>
      <c r="B24" s="26" t="s">
        <v>92</v>
      </c>
      <c r="C24" s="35">
        <f>'Sales-22'!E24</f>
        <v>0</v>
      </c>
      <c r="D24" s="35">
        <f>'Sales-23'!E24</f>
        <v>0</v>
      </c>
      <c r="E24" s="35">
        <f>'Sales-24'!E24</f>
        <v>0</v>
      </c>
      <c r="F24" s="35">
        <f>'Sales-25'!E24</f>
        <v>0</v>
      </c>
      <c r="G24" s="35">
        <f>'Sales-26'!E24</f>
        <v>0</v>
      </c>
      <c r="H24" s="35">
        <f>'Sales-27'!E24</f>
        <v>800</v>
      </c>
      <c r="I24" s="35">
        <f>'Sales-28'!E24</f>
        <v>0</v>
      </c>
      <c r="J24" s="33">
        <f t="shared" si="0"/>
        <v>800</v>
      </c>
    </row>
    <row r="25" spans="1:15" ht="15" thickBot="1" x14ac:dyDescent="0.35">
      <c r="A25" s="25" t="s">
        <v>70</v>
      </c>
      <c r="B25" s="26" t="s">
        <v>94</v>
      </c>
      <c r="C25" s="35">
        <f>'Sales-22'!E25</f>
        <v>700</v>
      </c>
      <c r="D25" s="35">
        <f>'Sales-23'!E25</f>
        <v>0</v>
      </c>
      <c r="E25" s="35">
        <f>'Sales-24'!E25</f>
        <v>1900</v>
      </c>
      <c r="F25" s="35">
        <f>'Sales-25'!E25</f>
        <v>2600</v>
      </c>
      <c r="G25" s="35">
        <f>'Sales-26'!E25</f>
        <v>0</v>
      </c>
      <c r="H25" s="35">
        <f>'Sales-27'!E25</f>
        <v>0</v>
      </c>
      <c r="I25" s="35">
        <f>'Sales-28'!E25</f>
        <v>1800</v>
      </c>
      <c r="J25" s="33">
        <f t="shared" si="0"/>
        <v>7000</v>
      </c>
    </row>
    <row r="26" spans="1:15" ht="15" thickBot="1" x14ac:dyDescent="0.35">
      <c r="A26" s="25" t="s">
        <v>72</v>
      </c>
      <c r="B26" s="26" t="s">
        <v>93</v>
      </c>
      <c r="C26" s="35">
        <f>'Sales-22'!E26</f>
        <v>0</v>
      </c>
      <c r="D26" s="35">
        <f>'Sales-23'!E26</f>
        <v>0</v>
      </c>
      <c r="E26" s="35">
        <f>'Sales-24'!E26</f>
        <v>0</v>
      </c>
      <c r="F26" s="35">
        <f>'Sales-25'!E26</f>
        <v>0</v>
      </c>
      <c r="G26" s="35">
        <f>'Sales-26'!E26</f>
        <v>0</v>
      </c>
      <c r="H26" s="35">
        <f>'Sales-27'!E26</f>
        <v>0</v>
      </c>
      <c r="I26" s="35">
        <f>'Sales-28'!E26</f>
        <v>0</v>
      </c>
      <c r="J26" s="33">
        <f t="shared" si="0"/>
        <v>0</v>
      </c>
    </row>
    <row r="27" spans="1:15" ht="15" thickBot="1" x14ac:dyDescent="0.35">
      <c r="A27" s="28"/>
      <c r="B27" s="26"/>
      <c r="C27" s="35">
        <f>'Sales-22'!E27</f>
        <v>0</v>
      </c>
      <c r="D27" s="35">
        <f>'Sales-23'!E27</f>
        <v>0</v>
      </c>
      <c r="E27" s="35">
        <f>'Sales-24'!E27</f>
        <v>0</v>
      </c>
      <c r="F27" s="35">
        <f>'Sales-25'!E27</f>
        <v>0</v>
      </c>
      <c r="G27" s="35">
        <f>'Sales-26'!E27</f>
        <v>0</v>
      </c>
      <c r="H27" s="35">
        <f>'Sales-27'!E27</f>
        <v>0</v>
      </c>
      <c r="I27" s="35">
        <f>'Sales-28'!E27</f>
        <v>0</v>
      </c>
      <c r="J27" s="33">
        <f t="shared" si="0"/>
        <v>0</v>
      </c>
    </row>
    <row r="28" spans="1:15" ht="15" thickBot="1" x14ac:dyDescent="0.35">
      <c r="A28" s="21">
        <v>3</v>
      </c>
      <c r="B28" s="22" t="s">
        <v>36</v>
      </c>
      <c r="C28" s="35">
        <f>'Sales-22'!E28</f>
        <v>0</v>
      </c>
      <c r="D28" s="35">
        <f>'Sales-23'!E28</f>
        <v>0</v>
      </c>
      <c r="E28" s="35">
        <f>'Sales-24'!E28</f>
        <v>0</v>
      </c>
      <c r="F28" s="35">
        <f>'Sales-25'!E28</f>
        <v>0</v>
      </c>
      <c r="G28" s="35">
        <f>'Sales-26'!E28</f>
        <v>0</v>
      </c>
      <c r="H28" s="35">
        <f>'Sales-27'!E28</f>
        <v>0</v>
      </c>
      <c r="I28" s="35">
        <f>'Sales-28'!E28</f>
        <v>0</v>
      </c>
      <c r="J28" s="33">
        <f t="shared" si="0"/>
        <v>0</v>
      </c>
    </row>
    <row r="29" spans="1:15" ht="15" thickBot="1" x14ac:dyDescent="0.35">
      <c r="A29" s="25" t="s">
        <v>6</v>
      </c>
      <c r="B29" s="26" t="s">
        <v>37</v>
      </c>
      <c r="C29" s="35">
        <f>'Sales-22'!E29</f>
        <v>32000</v>
      </c>
      <c r="D29" s="35">
        <f>'Sales-23'!E29</f>
        <v>6500</v>
      </c>
      <c r="E29" s="35">
        <f>'Sales-24'!E29</f>
        <v>24900</v>
      </c>
      <c r="F29" s="35">
        <f>'Sales-25'!E29</f>
        <v>22700</v>
      </c>
      <c r="G29" s="35">
        <f>'Sales-26'!E29</f>
        <v>18500</v>
      </c>
      <c r="H29" s="35">
        <f>'Sales-27'!E29</f>
        <v>16200</v>
      </c>
      <c r="I29" s="35">
        <f>'Sales-28'!E29</f>
        <v>17300</v>
      </c>
      <c r="J29" s="33">
        <f t="shared" si="0"/>
        <v>138100</v>
      </c>
    </row>
    <row r="30" spans="1:15" ht="15" thickBot="1" x14ac:dyDescent="0.35">
      <c r="A30" s="25" t="s">
        <v>8</v>
      </c>
      <c r="B30" s="26" t="s">
        <v>38</v>
      </c>
      <c r="C30" s="35">
        <f>'Sales-22'!E30</f>
        <v>7300</v>
      </c>
      <c r="D30" s="35">
        <f>'Sales-23'!E30</f>
        <v>5000</v>
      </c>
      <c r="E30" s="35">
        <f>'Sales-24'!E30</f>
        <v>5100</v>
      </c>
      <c r="F30" s="35">
        <f>'Sales-25'!E30</f>
        <v>11100</v>
      </c>
      <c r="G30" s="35">
        <f>'Sales-26'!E30</f>
        <v>9000</v>
      </c>
      <c r="H30" s="35">
        <f>'Sales-27'!E30</f>
        <v>29000</v>
      </c>
      <c r="I30" s="35">
        <f>'Sales-28'!E30</f>
        <v>9900</v>
      </c>
      <c r="J30" s="33">
        <f t="shared" si="0"/>
        <v>76400</v>
      </c>
    </row>
    <row r="31" spans="1:15" ht="15" thickBot="1" x14ac:dyDescent="0.35">
      <c r="A31" s="25" t="s">
        <v>10</v>
      </c>
      <c r="B31" s="26" t="s">
        <v>39</v>
      </c>
      <c r="C31" s="35">
        <f>'Sales-22'!E31</f>
        <v>0</v>
      </c>
      <c r="D31" s="35">
        <f>'Sales-23'!E31</f>
        <v>0</v>
      </c>
      <c r="E31" s="35">
        <f>'Sales-24'!E31</f>
        <v>0</v>
      </c>
      <c r="F31" s="35">
        <f>'Sales-25'!E31</f>
        <v>0</v>
      </c>
      <c r="G31" s="35">
        <f>'Sales-26'!E31</f>
        <v>0</v>
      </c>
      <c r="H31" s="35">
        <f>'Sales-27'!E31</f>
        <v>0</v>
      </c>
      <c r="I31" s="35">
        <f>'Sales-28'!E31</f>
        <v>0</v>
      </c>
      <c r="J31" s="33">
        <f t="shared" si="0"/>
        <v>0</v>
      </c>
    </row>
    <row r="32" spans="1:15" ht="15" thickBot="1" x14ac:dyDescent="0.35">
      <c r="A32" s="25" t="s">
        <v>12</v>
      </c>
      <c r="B32" s="26" t="s">
        <v>40</v>
      </c>
      <c r="C32" s="35">
        <f>'Sales-22'!E32</f>
        <v>0</v>
      </c>
      <c r="D32" s="35">
        <f>'Sales-23'!E32</f>
        <v>0</v>
      </c>
      <c r="E32" s="35">
        <f>'Sales-24'!E32</f>
        <v>0</v>
      </c>
      <c r="F32" s="35">
        <f>'Sales-25'!E32</f>
        <v>0</v>
      </c>
      <c r="G32" s="35">
        <f>'Sales-26'!E32</f>
        <v>0</v>
      </c>
      <c r="H32" s="35">
        <f>'Sales-27'!E32</f>
        <v>0</v>
      </c>
      <c r="I32" s="35">
        <f>'Sales-28'!E32</f>
        <v>0</v>
      </c>
      <c r="J32" s="33">
        <f t="shared" si="0"/>
        <v>0</v>
      </c>
    </row>
    <row r="33" spans="1:18" ht="15" thickBot="1" x14ac:dyDescent="0.35">
      <c r="A33" s="25" t="s">
        <v>14</v>
      </c>
      <c r="B33" s="26" t="s">
        <v>41</v>
      </c>
      <c r="C33" s="35">
        <f>'Sales-22'!E33</f>
        <v>0</v>
      </c>
      <c r="D33" s="35">
        <f>'Sales-23'!E33</f>
        <v>5000</v>
      </c>
      <c r="E33" s="35">
        <f>'Sales-24'!E33</f>
        <v>0</v>
      </c>
      <c r="F33" s="35">
        <f>'Sales-25'!E33</f>
        <v>5000</v>
      </c>
      <c r="G33" s="35">
        <f>'Sales-26'!E33</f>
        <v>10000</v>
      </c>
      <c r="H33" s="35">
        <f>'Sales-27'!E33</f>
        <v>10000</v>
      </c>
      <c r="I33" s="35">
        <f>'Sales-28'!E33</f>
        <v>0</v>
      </c>
      <c r="J33" s="33">
        <f t="shared" si="0"/>
        <v>30000</v>
      </c>
    </row>
    <row r="34" spans="1:18" ht="15" thickBot="1" x14ac:dyDescent="0.35">
      <c r="A34" s="25" t="s">
        <v>22</v>
      </c>
      <c r="B34" s="26" t="s">
        <v>42</v>
      </c>
      <c r="C34" s="35">
        <f>'Sales-22'!E34</f>
        <v>0</v>
      </c>
      <c r="D34" s="35">
        <f>'Sales-23'!E34</f>
        <v>0</v>
      </c>
      <c r="E34" s="35">
        <f>'Sales-24'!E34</f>
        <v>0</v>
      </c>
      <c r="F34" s="35">
        <f>'Sales-25'!E34</f>
        <v>500</v>
      </c>
      <c r="G34" s="35">
        <f>'Sales-26'!E34</f>
        <v>1500</v>
      </c>
      <c r="H34" s="35">
        <f>'Sales-27'!E34</f>
        <v>500</v>
      </c>
      <c r="I34" s="35">
        <f>'Sales-28'!E34</f>
        <v>0</v>
      </c>
      <c r="J34" s="33">
        <f t="shared" si="0"/>
        <v>2500</v>
      </c>
      <c r="O34" s="31"/>
    </row>
    <row r="35" spans="1:18" ht="15" thickBot="1" x14ac:dyDescent="0.35">
      <c r="A35" s="25" t="s">
        <v>24</v>
      </c>
      <c r="B35" s="26" t="s">
        <v>83</v>
      </c>
      <c r="C35" s="35">
        <f>'Sales-22'!E35</f>
        <v>0</v>
      </c>
      <c r="D35" s="35">
        <f>'Sales-23'!E35</f>
        <v>0</v>
      </c>
      <c r="E35" s="35">
        <f>'Sales-24'!E35</f>
        <v>4000</v>
      </c>
      <c r="F35" s="35">
        <f>'Sales-25'!E35</f>
        <v>0</v>
      </c>
      <c r="G35" s="35">
        <f>'Sales-26'!E35</f>
        <v>0</v>
      </c>
      <c r="H35" s="35">
        <f>'Sales-27'!E35</f>
        <v>0</v>
      </c>
      <c r="I35" s="35">
        <f>'Sales-28'!E35</f>
        <v>0</v>
      </c>
      <c r="J35" s="33">
        <f t="shared" si="0"/>
        <v>4000</v>
      </c>
      <c r="O35" s="31"/>
    </row>
    <row r="36" spans="1:18" ht="15" thickBot="1" x14ac:dyDescent="0.35">
      <c r="A36" s="25" t="s">
        <v>26</v>
      </c>
      <c r="B36" s="26" t="s">
        <v>43</v>
      </c>
      <c r="C36" s="35">
        <f>'Sales-22'!E36</f>
        <v>0</v>
      </c>
      <c r="D36" s="35">
        <f>'Sales-23'!E36</f>
        <v>0</v>
      </c>
      <c r="E36" s="35">
        <f>'Sales-24'!E36</f>
        <v>0</v>
      </c>
      <c r="F36" s="35">
        <f>'Sales-25'!E36</f>
        <v>0</v>
      </c>
      <c r="G36" s="35">
        <f>'Sales-26'!E36</f>
        <v>0</v>
      </c>
      <c r="H36" s="35">
        <f>'Sales-27'!E36</f>
        <v>0</v>
      </c>
      <c r="I36" s="35">
        <f>'Sales-28'!E36</f>
        <v>0</v>
      </c>
      <c r="J36" s="33">
        <f t="shared" si="0"/>
        <v>0</v>
      </c>
      <c r="O36" s="31"/>
      <c r="R36"/>
    </row>
    <row r="37" spans="1:18" ht="15" thickBot="1" x14ac:dyDescent="0.35">
      <c r="A37" s="11" t="s">
        <v>28</v>
      </c>
      <c r="B37" t="s">
        <v>89</v>
      </c>
      <c r="C37" s="35">
        <f>'Sales-22'!E37</f>
        <v>0</v>
      </c>
      <c r="D37" s="35">
        <f>'Sales-23'!E37</f>
        <v>0</v>
      </c>
      <c r="E37" s="35">
        <f>'Sales-24'!E37</f>
        <v>0</v>
      </c>
      <c r="F37" s="35">
        <f>'Sales-25'!E37</f>
        <v>0</v>
      </c>
      <c r="G37" s="35">
        <f>'Sales-26'!E37</f>
        <v>1200</v>
      </c>
      <c r="H37" s="35">
        <f>'Sales-27'!E37</f>
        <v>0</v>
      </c>
      <c r="I37" s="35">
        <f>'Sales-28'!E37</f>
        <v>0</v>
      </c>
      <c r="J37" s="33">
        <f t="shared" si="0"/>
        <v>1200</v>
      </c>
      <c r="O37" s="31"/>
      <c r="R37"/>
    </row>
    <row r="38" spans="1:18" ht="15" thickBot="1" x14ac:dyDescent="0.35">
      <c r="A38" s="11" t="s">
        <v>30</v>
      </c>
      <c r="B38" t="s">
        <v>90</v>
      </c>
      <c r="C38" s="35">
        <f>'Sales-22'!E38</f>
        <v>0</v>
      </c>
      <c r="D38" s="35">
        <f>'Sales-23'!E38</f>
        <v>0</v>
      </c>
      <c r="E38" s="35">
        <f>'Sales-24'!E38</f>
        <v>0</v>
      </c>
      <c r="F38" s="35">
        <f>'Sales-25'!E38</f>
        <v>5000</v>
      </c>
      <c r="G38" s="35">
        <f>'Sales-26'!E38</f>
        <v>0</v>
      </c>
      <c r="H38" s="35">
        <f>'Sales-27'!E38</f>
        <v>0</v>
      </c>
      <c r="I38" s="35">
        <f>'Sales-28'!E38</f>
        <v>0</v>
      </c>
      <c r="J38" s="33">
        <f t="shared" si="0"/>
        <v>5000</v>
      </c>
      <c r="O38" s="31"/>
      <c r="R38"/>
    </row>
    <row r="39" spans="1:18" ht="15" thickBot="1" x14ac:dyDescent="0.35">
      <c r="A39" s="11" t="s">
        <v>32</v>
      </c>
      <c r="B39" s="48" t="s">
        <v>95</v>
      </c>
      <c r="C39" s="35">
        <f>'Sales-22'!E39</f>
        <v>0</v>
      </c>
      <c r="D39" s="35">
        <f>'Sales-23'!E39</f>
        <v>0</v>
      </c>
      <c r="E39" s="35">
        <f>'Sales-24'!E39</f>
        <v>1200</v>
      </c>
      <c r="F39" s="35">
        <f>'Sales-25'!E39</f>
        <v>0</v>
      </c>
      <c r="G39" s="35">
        <f>'Sales-26'!E39</f>
        <v>0</v>
      </c>
      <c r="H39" s="35">
        <f>'Sales-27'!E39</f>
        <v>0</v>
      </c>
      <c r="I39" s="35">
        <f>'Sales-28'!E39</f>
        <v>0</v>
      </c>
      <c r="J39" s="33">
        <f t="shared" si="0"/>
        <v>1200</v>
      </c>
      <c r="O39" s="31"/>
      <c r="R39"/>
    </row>
    <row r="40" spans="1:18" ht="15" thickBot="1" x14ac:dyDescent="0.35">
      <c r="A40" s="26"/>
      <c r="B40" s="26"/>
      <c r="C40" s="35">
        <f>'Sales-22'!E40</f>
        <v>0</v>
      </c>
      <c r="D40" s="35">
        <f>'Sales-23'!E40</f>
        <v>0</v>
      </c>
      <c r="E40" s="35">
        <f>'Sales-24'!E40</f>
        <v>0</v>
      </c>
      <c r="F40" s="35">
        <f>'Sales-25'!E40</f>
        <v>0</v>
      </c>
      <c r="G40" s="35">
        <f>'Sales-26'!E40</f>
        <v>0</v>
      </c>
      <c r="H40" s="35">
        <f>'Sales-27'!E40</f>
        <v>0</v>
      </c>
      <c r="I40" s="35">
        <f>'Sales-28'!E40</f>
        <v>0</v>
      </c>
      <c r="J40" s="33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5">
        <f>'Sales-22'!E41</f>
        <v>0</v>
      </c>
      <c r="D41" s="35">
        <f>'Sales-23'!E41</f>
        <v>0</v>
      </c>
      <c r="E41" s="35">
        <f>'Sales-24'!E41</f>
        <v>0</v>
      </c>
      <c r="F41" s="35">
        <f>'Sales-25'!E41</f>
        <v>0</v>
      </c>
      <c r="G41" s="35">
        <f>'Sales-26'!E41</f>
        <v>0</v>
      </c>
      <c r="H41" s="35">
        <f>'Sales-27'!E41</f>
        <v>0</v>
      </c>
      <c r="I41" s="35">
        <f>'Sales-28'!E41</f>
        <v>0</v>
      </c>
      <c r="J41" s="33">
        <f t="shared" si="0"/>
        <v>0</v>
      </c>
      <c r="R41"/>
    </row>
    <row r="42" spans="1:18" ht="15" thickBot="1" x14ac:dyDescent="0.35">
      <c r="A42" s="25" t="s">
        <v>6</v>
      </c>
      <c r="B42" s="26" t="s">
        <v>45</v>
      </c>
      <c r="C42" s="35">
        <f>'Sales-22'!E42</f>
        <v>1400</v>
      </c>
      <c r="D42" s="35">
        <f>'Sales-23'!E42</f>
        <v>1400</v>
      </c>
      <c r="E42" s="35">
        <f>'Sales-24'!E42</f>
        <v>1000</v>
      </c>
      <c r="F42" s="35">
        <f>'Sales-25'!E42</f>
        <v>0</v>
      </c>
      <c r="G42" s="35">
        <f>'Sales-26'!E42</f>
        <v>700</v>
      </c>
      <c r="H42" s="35">
        <f>'Sales-27'!E42</f>
        <v>2100</v>
      </c>
      <c r="I42" s="35">
        <f>'Sales-28'!E42</f>
        <v>350</v>
      </c>
      <c r="J42" s="33">
        <f t="shared" si="0"/>
        <v>6950</v>
      </c>
      <c r="R42"/>
    </row>
    <row r="43" spans="1:18" ht="15" thickBot="1" x14ac:dyDescent="0.35">
      <c r="A43" s="25" t="s">
        <v>8</v>
      </c>
      <c r="B43" s="26" t="s">
        <v>46</v>
      </c>
      <c r="C43" s="35">
        <f>'Sales-22'!E43</f>
        <v>0</v>
      </c>
      <c r="D43" s="35">
        <f>'Sales-23'!E43</f>
        <v>1050</v>
      </c>
      <c r="E43" s="35">
        <f>'Sales-24'!E43</f>
        <v>2050</v>
      </c>
      <c r="F43" s="35">
        <f>'Sales-25'!E43</f>
        <v>2100</v>
      </c>
      <c r="G43" s="35">
        <f>'Sales-26'!E43</f>
        <v>1000</v>
      </c>
      <c r="H43" s="35">
        <f>'Sales-27'!E43</f>
        <v>500</v>
      </c>
      <c r="I43" s="35">
        <f>'Sales-28'!E43</f>
        <v>500</v>
      </c>
      <c r="J43" s="33">
        <f t="shared" si="0"/>
        <v>7200</v>
      </c>
      <c r="R43"/>
    </row>
    <row r="44" spans="1:18" ht="15" thickBot="1" x14ac:dyDescent="0.35">
      <c r="A44" s="25" t="s">
        <v>10</v>
      </c>
      <c r="B44" s="26" t="s">
        <v>47</v>
      </c>
      <c r="C44" s="35">
        <f>'Sales-22'!E44</f>
        <v>0</v>
      </c>
      <c r="D44" s="35">
        <f>'Sales-23'!E44</f>
        <v>0</v>
      </c>
      <c r="E44" s="35">
        <f>'Sales-24'!E44</f>
        <v>0</v>
      </c>
      <c r="F44" s="35">
        <f>'Sales-25'!E44</f>
        <v>0</v>
      </c>
      <c r="G44" s="35">
        <f>'Sales-26'!E44</f>
        <v>0</v>
      </c>
      <c r="H44" s="35">
        <f>'Sales-27'!E44</f>
        <v>0</v>
      </c>
      <c r="I44" s="35">
        <f>'Sales-28'!E44</f>
        <v>0</v>
      </c>
      <c r="J44" s="33">
        <f t="shared" si="0"/>
        <v>0</v>
      </c>
      <c r="R44"/>
    </row>
    <row r="45" spans="1:18" ht="15" thickBot="1" x14ac:dyDescent="0.35">
      <c r="A45" s="25" t="s">
        <v>12</v>
      </c>
      <c r="B45" s="26" t="s">
        <v>48</v>
      </c>
      <c r="C45" s="35">
        <f>'Sales-22'!E45</f>
        <v>0</v>
      </c>
      <c r="D45" s="35">
        <f>'Sales-23'!E45</f>
        <v>0</v>
      </c>
      <c r="E45" s="35">
        <f>'Sales-24'!E45</f>
        <v>0</v>
      </c>
      <c r="F45" s="35">
        <f>'Sales-25'!E45</f>
        <v>0</v>
      </c>
      <c r="G45" s="35">
        <f>'Sales-26'!E45</f>
        <v>0</v>
      </c>
      <c r="H45" s="35">
        <f>'Sales-27'!E45</f>
        <v>0</v>
      </c>
      <c r="I45" s="35">
        <f>'Sales-28'!E45</f>
        <v>0</v>
      </c>
      <c r="J45" s="33">
        <f t="shared" si="0"/>
        <v>0</v>
      </c>
      <c r="R45"/>
    </row>
    <row r="46" spans="1:18" ht="15" thickBot="1" x14ac:dyDescent="0.35">
      <c r="A46" s="25" t="s">
        <v>14</v>
      </c>
      <c r="B46" s="26" t="s">
        <v>49</v>
      </c>
      <c r="C46" s="35">
        <f>'Sales-22'!E46</f>
        <v>0</v>
      </c>
      <c r="D46" s="35">
        <f>'Sales-23'!E46</f>
        <v>0</v>
      </c>
      <c r="E46" s="35">
        <f>'Sales-24'!E46</f>
        <v>0</v>
      </c>
      <c r="F46" s="35">
        <f>'Sales-25'!E46</f>
        <v>0</v>
      </c>
      <c r="G46" s="35">
        <f>'Sales-26'!E46</f>
        <v>0</v>
      </c>
      <c r="H46" s="35">
        <f>'Sales-27'!E46</f>
        <v>0</v>
      </c>
      <c r="I46" s="35">
        <f>'Sales-28'!E46</f>
        <v>0</v>
      </c>
      <c r="J46" s="33">
        <f t="shared" si="0"/>
        <v>0</v>
      </c>
      <c r="R46"/>
    </row>
    <row r="47" spans="1:18" ht="15" thickBot="1" x14ac:dyDescent="0.35">
      <c r="A47" s="26"/>
      <c r="B47" s="26"/>
      <c r="C47" s="35">
        <f>'Sales-22'!E47</f>
        <v>0</v>
      </c>
      <c r="D47" s="35">
        <f>'Sales-23'!E47</f>
        <v>0</v>
      </c>
      <c r="E47" s="35">
        <f>'Sales-24'!E47</f>
        <v>0</v>
      </c>
      <c r="F47" s="35">
        <f>'Sales-25'!E47</f>
        <v>0</v>
      </c>
      <c r="G47" s="35">
        <f>'Sales-26'!E47</f>
        <v>0</v>
      </c>
      <c r="H47" s="35">
        <f>'Sales-27'!E47</f>
        <v>0</v>
      </c>
      <c r="I47" s="35">
        <f>'Sales-28'!E47</f>
        <v>0</v>
      </c>
      <c r="J47" s="33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5">
        <f>'Sales-22'!E48</f>
        <v>0</v>
      </c>
      <c r="D48" s="35">
        <f>'Sales-23'!E48</f>
        <v>0</v>
      </c>
      <c r="E48" s="35">
        <f>'Sales-24'!E48</f>
        <v>0</v>
      </c>
      <c r="F48" s="35">
        <f>'Sales-25'!E48</f>
        <v>0</v>
      </c>
      <c r="G48" s="35">
        <f>'Sales-26'!E48</f>
        <v>0</v>
      </c>
      <c r="H48" s="35">
        <f>'Sales-27'!E48</f>
        <v>0</v>
      </c>
      <c r="I48" s="35">
        <f>'Sales-28'!E48</f>
        <v>0</v>
      </c>
      <c r="J48" s="33">
        <f t="shared" si="0"/>
        <v>0</v>
      </c>
      <c r="R48"/>
    </row>
    <row r="49" spans="1:18" ht="15" thickBot="1" x14ac:dyDescent="0.35">
      <c r="A49" s="25" t="s">
        <v>6</v>
      </c>
      <c r="B49" s="26" t="s">
        <v>51</v>
      </c>
      <c r="C49" s="35">
        <f>'Sales-22'!E49</f>
        <v>900</v>
      </c>
      <c r="D49" s="35">
        <f>'Sales-23'!E49</f>
        <v>1500</v>
      </c>
      <c r="E49" s="35">
        <f>'Sales-24'!E49</f>
        <v>800</v>
      </c>
      <c r="F49" s="35">
        <f>'Sales-25'!E49</f>
        <v>1700</v>
      </c>
      <c r="G49" s="35">
        <f>'Sales-26'!E49</f>
        <v>1900</v>
      </c>
      <c r="H49" s="35">
        <f>'Sales-27'!E49</f>
        <v>1200</v>
      </c>
      <c r="I49" s="35">
        <f>'Sales-28'!E49</f>
        <v>0</v>
      </c>
      <c r="J49" s="33">
        <f t="shared" si="0"/>
        <v>8000</v>
      </c>
      <c r="R49"/>
    </row>
    <row r="50" spans="1:18" ht="15" thickBot="1" x14ac:dyDescent="0.35">
      <c r="A50" s="25" t="s">
        <v>8</v>
      </c>
      <c r="B50" s="26" t="s">
        <v>52</v>
      </c>
      <c r="C50" s="35">
        <f>'Sales-22'!E50</f>
        <v>0</v>
      </c>
      <c r="D50" s="35">
        <f>'Sales-23'!E50</f>
        <v>0</v>
      </c>
      <c r="E50" s="35">
        <f>'Sales-24'!E50</f>
        <v>0</v>
      </c>
      <c r="F50" s="35">
        <f>'Sales-25'!E50</f>
        <v>0</v>
      </c>
      <c r="G50" s="35">
        <f>'Sales-26'!E50</f>
        <v>0</v>
      </c>
      <c r="H50" s="35">
        <f>'Sales-27'!E50</f>
        <v>0</v>
      </c>
      <c r="I50" s="35">
        <f>'Sales-28'!E50</f>
        <v>0</v>
      </c>
      <c r="J50" s="33">
        <f t="shared" si="0"/>
        <v>0</v>
      </c>
      <c r="R50"/>
    </row>
    <row r="51" spans="1:18" ht="15" thickBot="1" x14ac:dyDescent="0.35">
      <c r="A51" s="28"/>
      <c r="B51" s="26"/>
      <c r="C51" s="35">
        <f>'Sales-22'!E51</f>
        <v>0</v>
      </c>
      <c r="D51" s="35">
        <f>'Sales-23'!E51</f>
        <v>0</v>
      </c>
      <c r="E51" s="35">
        <f>'Sales-24'!E51</f>
        <v>0</v>
      </c>
      <c r="F51" s="35">
        <f>'Sales-25'!E51</f>
        <v>0</v>
      </c>
      <c r="G51" s="35">
        <f>'Sales-26'!E51</f>
        <v>0</v>
      </c>
      <c r="H51" s="35">
        <f>'Sales-27'!E51</f>
        <v>0</v>
      </c>
      <c r="I51" s="35">
        <f>'Sales-28'!E51</f>
        <v>0</v>
      </c>
      <c r="J51" s="33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5">
        <f>'Sales-22'!E52</f>
        <v>0</v>
      </c>
      <c r="D52" s="35">
        <f>'Sales-23'!E52</f>
        <v>0</v>
      </c>
      <c r="E52" s="35">
        <f>'Sales-24'!E52</f>
        <v>0</v>
      </c>
      <c r="F52" s="35">
        <f>'Sales-25'!E52</f>
        <v>0</v>
      </c>
      <c r="G52" s="35">
        <f>'Sales-26'!E52</f>
        <v>0</v>
      </c>
      <c r="H52" s="35">
        <f>'Sales-27'!E52</f>
        <v>0</v>
      </c>
      <c r="I52" s="35">
        <f>'Sales-28'!E52</f>
        <v>0</v>
      </c>
      <c r="J52" s="33">
        <f t="shared" si="0"/>
        <v>0</v>
      </c>
      <c r="R52"/>
    </row>
    <row r="53" spans="1:18" ht="15" thickBot="1" x14ac:dyDescent="0.35">
      <c r="A53" s="25" t="s">
        <v>6</v>
      </c>
      <c r="B53" s="26" t="s">
        <v>54</v>
      </c>
      <c r="C53" s="35">
        <f>'Sales-22'!E53</f>
        <v>13700</v>
      </c>
      <c r="D53" s="35">
        <f>'Sales-23'!E53</f>
        <v>8400</v>
      </c>
      <c r="E53" s="35">
        <f>'Sales-24'!E53</f>
        <v>16400</v>
      </c>
      <c r="F53" s="35">
        <f>'Sales-25'!E53</f>
        <v>18000</v>
      </c>
      <c r="G53" s="35">
        <f>'Sales-26'!E53</f>
        <v>12100</v>
      </c>
      <c r="H53" s="35">
        <f>'Sales-27'!E53</f>
        <v>12300</v>
      </c>
      <c r="I53" s="35">
        <f>'Sales-28'!E53</f>
        <v>7300</v>
      </c>
      <c r="J53" s="33">
        <f t="shared" si="0"/>
        <v>88200</v>
      </c>
      <c r="R53"/>
    </row>
    <row r="54" spans="1:18" ht="15" thickBot="1" x14ac:dyDescent="0.35">
      <c r="A54" s="25" t="s">
        <v>8</v>
      </c>
      <c r="B54" s="26" t="s">
        <v>55</v>
      </c>
      <c r="C54" s="35">
        <f>'Sales-22'!E54</f>
        <v>0</v>
      </c>
      <c r="D54" s="35">
        <f>'Sales-23'!E54</f>
        <v>0</v>
      </c>
      <c r="E54" s="35">
        <f>'Sales-24'!E54</f>
        <v>0</v>
      </c>
      <c r="F54" s="35">
        <f>'Sales-25'!E54</f>
        <v>0</v>
      </c>
      <c r="G54" s="35">
        <f>'Sales-26'!E54</f>
        <v>0</v>
      </c>
      <c r="H54" s="35">
        <f>'Sales-27'!E54</f>
        <v>0</v>
      </c>
      <c r="I54" s="35">
        <f>'Sales-28'!E54</f>
        <v>0</v>
      </c>
      <c r="J54" s="33">
        <f t="shared" si="0"/>
        <v>0</v>
      </c>
      <c r="R54"/>
    </row>
    <row r="55" spans="1:18" ht="15" thickBot="1" x14ac:dyDescent="0.35">
      <c r="A55" s="25" t="s">
        <v>10</v>
      </c>
      <c r="B55" s="26" t="s">
        <v>56</v>
      </c>
      <c r="C55" s="35">
        <f>'Sales-22'!E55</f>
        <v>0</v>
      </c>
      <c r="D55" s="35">
        <f>'Sales-23'!E55</f>
        <v>800</v>
      </c>
      <c r="E55" s="35">
        <f>'Sales-24'!E55</f>
        <v>0</v>
      </c>
      <c r="F55" s="35">
        <f>'Sales-25'!E55</f>
        <v>0</v>
      </c>
      <c r="G55" s="35">
        <f>'Sales-26'!E55</f>
        <v>0</v>
      </c>
      <c r="H55" s="35">
        <f>'Sales-27'!E55</f>
        <v>0</v>
      </c>
      <c r="I55" s="35">
        <f>'Sales-28'!E55</f>
        <v>0</v>
      </c>
      <c r="J55" s="33">
        <f t="shared" si="0"/>
        <v>800</v>
      </c>
      <c r="R55"/>
    </row>
    <row r="56" spans="1:18" ht="15" thickBot="1" x14ac:dyDescent="0.35">
      <c r="A56" s="25" t="s">
        <v>12</v>
      </c>
      <c r="B56" s="26" t="s">
        <v>57</v>
      </c>
      <c r="C56" s="35">
        <f>'Sales-22'!E56</f>
        <v>0</v>
      </c>
      <c r="D56" s="35">
        <f>'Sales-23'!E56</f>
        <v>0</v>
      </c>
      <c r="E56" s="35">
        <f>'Sales-24'!E56</f>
        <v>0</v>
      </c>
      <c r="F56" s="35">
        <f>'Sales-25'!E56</f>
        <v>0</v>
      </c>
      <c r="G56" s="35">
        <f>'Sales-26'!E56</f>
        <v>0</v>
      </c>
      <c r="H56" s="35">
        <f>'Sales-27'!E56</f>
        <v>0</v>
      </c>
      <c r="I56" s="35">
        <f>'Sales-28'!E56</f>
        <v>0</v>
      </c>
      <c r="J56" s="33">
        <f t="shared" si="0"/>
        <v>0</v>
      </c>
      <c r="R56"/>
    </row>
    <row r="57" spans="1:18" ht="15" thickBot="1" x14ac:dyDescent="0.35">
      <c r="A57" s="25" t="s">
        <v>14</v>
      </c>
      <c r="B57" s="26" t="s">
        <v>58</v>
      </c>
      <c r="C57" s="35">
        <f>'Sales-22'!E57</f>
        <v>0</v>
      </c>
      <c r="D57" s="35">
        <f>'Sales-23'!E57</f>
        <v>0</v>
      </c>
      <c r="E57" s="35">
        <f>'Sales-24'!E57</f>
        <v>0</v>
      </c>
      <c r="F57" s="35">
        <f>'Sales-25'!E57</f>
        <v>0</v>
      </c>
      <c r="G57" s="35">
        <f>'Sales-26'!E57</f>
        <v>0</v>
      </c>
      <c r="H57" s="35">
        <f>'Sales-27'!E57</f>
        <v>0</v>
      </c>
      <c r="I57" s="35">
        <f>'Sales-28'!E57</f>
        <v>0</v>
      </c>
      <c r="J57" s="33">
        <f t="shared" si="0"/>
        <v>0</v>
      </c>
      <c r="R57"/>
    </row>
    <row r="58" spans="1:18" ht="15" thickBot="1" x14ac:dyDescent="0.35">
      <c r="A58" s="25" t="s">
        <v>22</v>
      </c>
      <c r="B58" s="26" t="s">
        <v>59</v>
      </c>
      <c r="C58" s="35">
        <f>'Sales-22'!E58</f>
        <v>0</v>
      </c>
      <c r="D58" s="35">
        <f>'Sales-23'!E58</f>
        <v>0</v>
      </c>
      <c r="E58" s="35">
        <f>'Sales-24'!E58</f>
        <v>0</v>
      </c>
      <c r="F58" s="35">
        <f>'Sales-25'!E58</f>
        <v>0</v>
      </c>
      <c r="G58" s="35">
        <f>'Sales-26'!E58</f>
        <v>0</v>
      </c>
      <c r="H58" s="35">
        <f>'Sales-27'!E58</f>
        <v>0</v>
      </c>
      <c r="I58" s="35">
        <f>'Sales-28'!E58</f>
        <v>0</v>
      </c>
      <c r="J58" s="33">
        <f t="shared" si="0"/>
        <v>0</v>
      </c>
      <c r="R58"/>
    </row>
    <row r="59" spans="1:18" ht="15" thickBot="1" x14ac:dyDescent="0.35">
      <c r="A59" s="25" t="s">
        <v>24</v>
      </c>
      <c r="B59" s="26" t="s">
        <v>60</v>
      </c>
      <c r="C59" s="35">
        <f>'Sales-22'!E59</f>
        <v>0</v>
      </c>
      <c r="D59" s="35">
        <f>'Sales-23'!E59</f>
        <v>0</v>
      </c>
      <c r="E59" s="35">
        <f>'Sales-24'!E59</f>
        <v>0</v>
      </c>
      <c r="F59" s="35">
        <f>'Sales-25'!E59</f>
        <v>0</v>
      </c>
      <c r="G59" s="35">
        <f>'Sales-26'!E59</f>
        <v>1500</v>
      </c>
      <c r="H59" s="35">
        <f>'Sales-27'!E59</f>
        <v>0</v>
      </c>
      <c r="I59" s="35">
        <f>'Sales-28'!E59</f>
        <v>3000</v>
      </c>
      <c r="J59" s="33">
        <f t="shared" si="0"/>
        <v>4500</v>
      </c>
      <c r="R59"/>
    </row>
    <row r="60" spans="1:18" ht="15" thickBot="1" x14ac:dyDescent="0.35">
      <c r="A60" s="25" t="s">
        <v>26</v>
      </c>
      <c r="B60" s="26" t="s">
        <v>61</v>
      </c>
      <c r="C60" s="35">
        <f>'Sales-22'!E60</f>
        <v>0</v>
      </c>
      <c r="D60" s="35">
        <f>'Sales-23'!E60</f>
        <v>0</v>
      </c>
      <c r="E60" s="35">
        <f>'Sales-24'!E60</f>
        <v>800</v>
      </c>
      <c r="F60" s="35">
        <f>'Sales-25'!E60</f>
        <v>400</v>
      </c>
      <c r="G60" s="35">
        <f>'Sales-26'!E60</f>
        <v>0</v>
      </c>
      <c r="H60" s="35">
        <f>'Sales-27'!E60</f>
        <v>0</v>
      </c>
      <c r="I60" s="35">
        <f>'Sales-28'!E60</f>
        <v>0</v>
      </c>
      <c r="J60" s="33">
        <f t="shared" si="0"/>
        <v>1200</v>
      </c>
      <c r="R60"/>
    </row>
    <row r="61" spans="1:18" ht="15" thickBot="1" x14ac:dyDescent="0.35">
      <c r="A61" s="25" t="s">
        <v>28</v>
      </c>
      <c r="B61" s="26" t="s">
        <v>62</v>
      </c>
      <c r="C61" s="35">
        <f>'Sales-22'!E61</f>
        <v>0</v>
      </c>
      <c r="D61" s="35">
        <f>'Sales-23'!E61</f>
        <v>0</v>
      </c>
      <c r="E61" s="35">
        <f>'Sales-24'!E61</f>
        <v>0</v>
      </c>
      <c r="F61" s="35">
        <f>'Sales-25'!E61</f>
        <v>0</v>
      </c>
      <c r="G61" s="35">
        <f>'Sales-26'!E61</f>
        <v>0</v>
      </c>
      <c r="H61" s="35">
        <f>'Sales-27'!E61</f>
        <v>0</v>
      </c>
      <c r="I61" s="35">
        <f>'Sales-28'!E61</f>
        <v>0</v>
      </c>
      <c r="J61" s="33">
        <f t="shared" si="0"/>
        <v>0</v>
      </c>
      <c r="R61"/>
    </row>
    <row r="62" spans="1:18" ht="15" thickBot="1" x14ac:dyDescent="0.35">
      <c r="A62" s="25" t="s">
        <v>30</v>
      </c>
      <c r="B62" s="26" t="s">
        <v>63</v>
      </c>
      <c r="C62" s="35">
        <f>'Sales-22'!E62</f>
        <v>2400</v>
      </c>
      <c r="D62" s="35">
        <f>'Sales-23'!E62</f>
        <v>0</v>
      </c>
      <c r="E62" s="35">
        <f>'Sales-24'!E62</f>
        <v>1600</v>
      </c>
      <c r="F62" s="35">
        <f>'Sales-25'!E62</f>
        <v>10400</v>
      </c>
      <c r="G62" s="35">
        <f>'Sales-26'!E62</f>
        <v>3200</v>
      </c>
      <c r="H62" s="35">
        <f>'Sales-27'!E62</f>
        <v>2400</v>
      </c>
      <c r="I62" s="35">
        <f>'Sales-28'!E62</f>
        <v>0</v>
      </c>
      <c r="J62" s="33">
        <f t="shared" si="0"/>
        <v>20000</v>
      </c>
      <c r="R62"/>
    </row>
    <row r="63" spans="1:18" ht="15" thickBot="1" x14ac:dyDescent="0.35">
      <c r="A63" s="25" t="s">
        <v>32</v>
      </c>
      <c r="B63" s="26" t="s">
        <v>64</v>
      </c>
      <c r="C63" s="35">
        <f>'Sales-22'!E63</f>
        <v>0</v>
      </c>
      <c r="D63" s="35">
        <f>'Sales-23'!E63</f>
        <v>0</v>
      </c>
      <c r="E63" s="35">
        <f>'Sales-24'!E63</f>
        <v>0</v>
      </c>
      <c r="F63" s="35">
        <f>'Sales-25'!E63</f>
        <v>0</v>
      </c>
      <c r="G63" s="35">
        <f>'Sales-26'!E63</f>
        <v>0</v>
      </c>
      <c r="H63" s="35">
        <f>'Sales-27'!E63</f>
        <v>0</v>
      </c>
      <c r="I63" s="35">
        <f>'Sales-28'!E63</f>
        <v>0</v>
      </c>
      <c r="J63" s="33">
        <f t="shared" si="0"/>
        <v>0</v>
      </c>
      <c r="R63"/>
    </row>
    <row r="64" spans="1:18" ht="15" thickBot="1" x14ac:dyDescent="0.35">
      <c r="A64" s="25" t="s">
        <v>34</v>
      </c>
      <c r="B64" s="26" t="s">
        <v>65</v>
      </c>
      <c r="C64" s="35">
        <f>'Sales-22'!E64</f>
        <v>0</v>
      </c>
      <c r="D64" s="35">
        <f>'Sales-23'!E64</f>
        <v>0</v>
      </c>
      <c r="E64" s="35">
        <f>'Sales-24'!E64</f>
        <v>0</v>
      </c>
      <c r="F64" s="35">
        <f>'Sales-25'!E64</f>
        <v>0</v>
      </c>
      <c r="G64" s="35">
        <f>'Sales-26'!E64</f>
        <v>0</v>
      </c>
      <c r="H64" s="35">
        <f>'Sales-27'!E64</f>
        <v>0</v>
      </c>
      <c r="I64" s="35">
        <f>'Sales-28'!E64</f>
        <v>0</v>
      </c>
      <c r="J64" s="33">
        <f t="shared" si="0"/>
        <v>0</v>
      </c>
      <c r="R64"/>
    </row>
    <row r="65" spans="1:18" ht="15" thickBot="1" x14ac:dyDescent="0.35">
      <c r="A65" s="25" t="s">
        <v>66</v>
      </c>
      <c r="B65" s="26" t="s">
        <v>67</v>
      </c>
      <c r="C65" s="35">
        <f>'Sales-22'!E65</f>
        <v>0</v>
      </c>
      <c r="D65" s="35">
        <f>'Sales-23'!E65</f>
        <v>0</v>
      </c>
      <c r="E65" s="35">
        <f>'Sales-24'!E65</f>
        <v>0</v>
      </c>
      <c r="F65" s="35">
        <f>'Sales-25'!E65</f>
        <v>1600</v>
      </c>
      <c r="G65" s="35">
        <f>'Sales-26'!E65</f>
        <v>0</v>
      </c>
      <c r="H65" s="35">
        <f>'Sales-27'!E65</f>
        <v>800</v>
      </c>
      <c r="I65" s="35">
        <f>'Sales-28'!E65</f>
        <v>0</v>
      </c>
      <c r="J65" s="33">
        <f t="shared" si="0"/>
        <v>2400</v>
      </c>
      <c r="R65"/>
    </row>
    <row r="66" spans="1:18" ht="15" thickBot="1" x14ac:dyDescent="0.35">
      <c r="A66" s="25" t="s">
        <v>68</v>
      </c>
      <c r="B66" s="26" t="s">
        <v>69</v>
      </c>
      <c r="C66" s="35">
        <f>'Sales-22'!E66</f>
        <v>0</v>
      </c>
      <c r="D66" s="35">
        <f>'Sales-23'!E66</f>
        <v>900</v>
      </c>
      <c r="E66" s="35">
        <f>'Sales-24'!E66</f>
        <v>0</v>
      </c>
      <c r="F66" s="35">
        <f>'Sales-25'!E66</f>
        <v>0</v>
      </c>
      <c r="G66" s="35">
        <f>'Sales-26'!E66</f>
        <v>0</v>
      </c>
      <c r="H66" s="35">
        <f>'Sales-27'!E66</f>
        <v>0</v>
      </c>
      <c r="I66" s="35">
        <f>'Sales-28'!E66</f>
        <v>0</v>
      </c>
      <c r="J66" s="33">
        <f t="shared" si="0"/>
        <v>900</v>
      </c>
      <c r="R66"/>
    </row>
    <row r="67" spans="1:18" ht="15" thickBot="1" x14ac:dyDescent="0.35">
      <c r="A67" s="25" t="s">
        <v>70</v>
      </c>
      <c r="B67" s="26" t="s">
        <v>71</v>
      </c>
      <c r="C67" s="35">
        <f>'Sales-22'!E67</f>
        <v>0</v>
      </c>
      <c r="D67" s="35">
        <f>'Sales-23'!E67</f>
        <v>0</v>
      </c>
      <c r="E67" s="35">
        <f>'Sales-24'!E67</f>
        <v>0</v>
      </c>
      <c r="F67" s="35">
        <f>'Sales-25'!E67</f>
        <v>4000</v>
      </c>
      <c r="G67" s="35">
        <f>'Sales-26'!E67</f>
        <v>0</v>
      </c>
      <c r="H67" s="35">
        <f>'Sales-27'!E67</f>
        <v>0</v>
      </c>
      <c r="I67" s="35">
        <f>'Sales-28'!E67</f>
        <v>5200</v>
      </c>
      <c r="J67" s="33">
        <f t="shared" si="0"/>
        <v>9200</v>
      </c>
      <c r="R67"/>
    </row>
    <row r="68" spans="1:18" ht="15" thickBot="1" x14ac:dyDescent="0.35">
      <c r="A68" s="25" t="s">
        <v>72</v>
      </c>
      <c r="B68" s="26" t="s">
        <v>73</v>
      </c>
      <c r="C68" s="35">
        <f>'Sales-22'!E68</f>
        <v>0</v>
      </c>
      <c r="D68" s="35">
        <f>'Sales-23'!E68</f>
        <v>0</v>
      </c>
      <c r="E68" s="35">
        <f>'Sales-24'!E68</f>
        <v>0</v>
      </c>
      <c r="F68" s="35">
        <f>'Sales-25'!E68</f>
        <v>0</v>
      </c>
      <c r="G68" s="35">
        <f>'Sales-26'!E68</f>
        <v>0</v>
      </c>
      <c r="H68" s="35">
        <f>'Sales-27'!E68</f>
        <v>0</v>
      </c>
      <c r="I68" s="35">
        <f>'Sales-28'!E68</f>
        <v>0</v>
      </c>
      <c r="J68" s="33">
        <f t="shared" si="0"/>
        <v>0</v>
      </c>
      <c r="R68"/>
    </row>
    <row r="69" spans="1:18" ht="15" thickBot="1" x14ac:dyDescent="0.35">
      <c r="A69" s="25" t="s">
        <v>74</v>
      </c>
      <c r="B69" s="26" t="s">
        <v>75</v>
      </c>
      <c r="C69" s="35">
        <f>'Sales-22'!E69</f>
        <v>0</v>
      </c>
      <c r="D69" s="35">
        <f>'Sales-23'!E69</f>
        <v>2500</v>
      </c>
      <c r="E69" s="35">
        <f>'Sales-24'!E69</f>
        <v>2500</v>
      </c>
      <c r="F69" s="35">
        <f>'Sales-25'!E69</f>
        <v>0</v>
      </c>
      <c r="G69" s="35">
        <f>'Sales-26'!E69</f>
        <v>0</v>
      </c>
      <c r="H69" s="35">
        <f>'Sales-27'!E69</f>
        <v>0</v>
      </c>
      <c r="I69" s="35">
        <f>'Sales-28'!E69</f>
        <v>0</v>
      </c>
      <c r="J69" s="33">
        <f t="shared" ref="J69:J85" si="1">SUM(C69:I69)</f>
        <v>5000</v>
      </c>
      <c r="R69"/>
    </row>
    <row r="70" spans="1:18" ht="15" thickBot="1" x14ac:dyDescent="0.35">
      <c r="A70" s="11" t="s">
        <v>79</v>
      </c>
      <c r="B70" s="14" t="s">
        <v>84</v>
      </c>
      <c r="C70" s="35">
        <f>'Sales-22'!E70</f>
        <v>500</v>
      </c>
      <c r="D70" s="35">
        <f>'Sales-23'!E70</f>
        <v>1500</v>
      </c>
      <c r="E70" s="35">
        <f>'Sales-24'!E70</f>
        <v>0</v>
      </c>
      <c r="F70" s="35">
        <f>'Sales-25'!E70</f>
        <v>1000</v>
      </c>
      <c r="G70" s="35">
        <f>'Sales-26'!E70</f>
        <v>2000</v>
      </c>
      <c r="H70" s="35">
        <f>'Sales-27'!E70</f>
        <v>0</v>
      </c>
      <c r="I70" s="35">
        <f>'Sales-28'!E70</f>
        <v>0</v>
      </c>
      <c r="J70" s="33">
        <f t="shared" si="1"/>
        <v>5000</v>
      </c>
      <c r="R70"/>
    </row>
    <row r="71" spans="1:18" ht="15" thickBot="1" x14ac:dyDescent="0.35">
      <c r="A71" s="11" t="s">
        <v>85</v>
      </c>
      <c r="B71" s="14" t="s">
        <v>86</v>
      </c>
      <c r="C71" s="35">
        <f>'Sales-22'!E71</f>
        <v>2400</v>
      </c>
      <c r="D71" s="35">
        <f>'Sales-23'!E71</f>
        <v>0</v>
      </c>
      <c r="E71" s="35">
        <f>'Sales-24'!E71</f>
        <v>400</v>
      </c>
      <c r="F71" s="35">
        <f>'Sales-25'!E71</f>
        <v>0</v>
      </c>
      <c r="G71" s="35">
        <f>'Sales-26'!E71</f>
        <v>400</v>
      </c>
      <c r="H71" s="35">
        <f>'Sales-27'!E71</f>
        <v>0</v>
      </c>
      <c r="I71" s="35">
        <f>'Sales-28'!E71</f>
        <v>0</v>
      </c>
      <c r="J71" s="33">
        <f t="shared" si="1"/>
        <v>3200</v>
      </c>
      <c r="R71"/>
    </row>
    <row r="72" spans="1:18" ht="15" thickBot="1" x14ac:dyDescent="0.35">
      <c r="A72" s="11" t="s">
        <v>87</v>
      </c>
      <c r="B72" s="14" t="s">
        <v>88</v>
      </c>
      <c r="C72" s="35">
        <f>'Sales-22'!E72</f>
        <v>0</v>
      </c>
      <c r="D72" s="35">
        <f>'Sales-23'!E72</f>
        <v>0</v>
      </c>
      <c r="E72" s="35">
        <f>'Sales-24'!E72</f>
        <v>0</v>
      </c>
      <c r="F72" s="35">
        <f>'Sales-25'!E72</f>
        <v>0</v>
      </c>
      <c r="G72" s="35">
        <f>'Sales-26'!E72</f>
        <v>0</v>
      </c>
      <c r="H72" s="35">
        <f>'Sales-27'!E72</f>
        <v>0</v>
      </c>
      <c r="I72" s="35">
        <f>'Sales-28'!E72</f>
        <v>0</v>
      </c>
      <c r="J72" s="33">
        <f t="shared" si="1"/>
        <v>0</v>
      </c>
      <c r="R72"/>
    </row>
    <row r="73" spans="1:18" ht="15" thickBot="1" x14ac:dyDescent="0.35">
      <c r="A73" s="11" t="s">
        <v>98</v>
      </c>
      <c r="B73" s="14" t="s">
        <v>99</v>
      </c>
      <c r="C73" s="35">
        <f>'Sales-22'!E73</f>
        <v>0</v>
      </c>
      <c r="D73" s="35">
        <f>'Sales-23'!E73</f>
        <v>0</v>
      </c>
      <c r="E73" s="35">
        <f>'Sales-24'!E73</f>
        <v>0</v>
      </c>
      <c r="F73" s="35">
        <f>'Sales-25'!E73</f>
        <v>0</v>
      </c>
      <c r="G73" s="35">
        <f>'Sales-26'!E73</f>
        <v>0</v>
      </c>
      <c r="H73" s="35">
        <f>'Sales-27'!E73</f>
        <v>0</v>
      </c>
      <c r="I73" s="35">
        <f>'Sales-28'!E73</f>
        <v>0</v>
      </c>
      <c r="J73" s="33">
        <f t="shared" si="1"/>
        <v>0</v>
      </c>
      <c r="R73"/>
    </row>
    <row r="74" spans="1:18" ht="15" thickBot="1" x14ac:dyDescent="0.35">
      <c r="A74" s="11" t="s">
        <v>100</v>
      </c>
      <c r="B74" s="14" t="s">
        <v>101</v>
      </c>
      <c r="C74" s="35">
        <f>'Sales-22'!E74</f>
        <v>300</v>
      </c>
      <c r="D74" s="35">
        <f>'Sales-23'!E74</f>
        <v>0</v>
      </c>
      <c r="E74" s="35">
        <f>'Sales-24'!E74</f>
        <v>0</v>
      </c>
      <c r="F74" s="35">
        <f>'Sales-25'!E74</f>
        <v>0</v>
      </c>
      <c r="G74" s="35">
        <f>'Sales-26'!E74</f>
        <v>0</v>
      </c>
      <c r="H74" s="35">
        <f>'Sales-27'!E74</f>
        <v>0</v>
      </c>
      <c r="I74" s="35">
        <f>'Sales-28'!E74</f>
        <v>0</v>
      </c>
      <c r="J74" s="33"/>
      <c r="R74"/>
    </row>
    <row r="75" spans="1:18" ht="15" thickBot="1" x14ac:dyDescent="0.35">
      <c r="A75" s="26"/>
      <c r="B75" s="26"/>
      <c r="C75" s="35">
        <f>'Sales-22'!E75</f>
        <v>0</v>
      </c>
      <c r="D75" s="35">
        <f>'Sales-23'!E75</f>
        <v>0</v>
      </c>
      <c r="E75" s="35">
        <f>'Sales-24'!E75</f>
        <v>0</v>
      </c>
      <c r="F75" s="35">
        <f>'Sales-25'!E75</f>
        <v>0</v>
      </c>
      <c r="G75" s="35">
        <f>'Sales-26'!E75</f>
        <v>0</v>
      </c>
      <c r="H75" s="35">
        <f>'Sales-27'!E75</f>
        <v>0</v>
      </c>
      <c r="I75" s="35">
        <f>'Sales-28'!E75</f>
        <v>0</v>
      </c>
      <c r="J75" s="33">
        <f t="shared" si="1"/>
        <v>0</v>
      </c>
      <c r="R75"/>
    </row>
    <row r="76" spans="1:18" ht="15" thickBot="1" x14ac:dyDescent="0.35">
      <c r="A76" s="30">
        <v>7</v>
      </c>
      <c r="B76" s="22" t="s">
        <v>76</v>
      </c>
      <c r="C76" s="35">
        <f>'Sales-22'!E76</f>
        <v>0</v>
      </c>
      <c r="D76" s="35">
        <f>'Sales-23'!E76</f>
        <v>0</v>
      </c>
      <c r="E76" s="35">
        <f>'Sales-24'!E76</f>
        <v>0</v>
      </c>
      <c r="F76" s="35">
        <f>'Sales-25'!E76</f>
        <v>0</v>
      </c>
      <c r="G76" s="35">
        <f>'Sales-26'!E76</f>
        <v>0</v>
      </c>
      <c r="H76" s="35">
        <f>'Sales-27'!E76</f>
        <v>0</v>
      </c>
      <c r="I76" s="35">
        <f>'Sales-28'!E76</f>
        <v>0</v>
      </c>
      <c r="J76" s="33">
        <f t="shared" si="1"/>
        <v>0</v>
      </c>
      <c r="R76"/>
    </row>
    <row r="77" spans="1:18" ht="15" thickBot="1" x14ac:dyDescent="0.35">
      <c r="A77" s="25" t="s">
        <v>6</v>
      </c>
      <c r="B77" s="26" t="s">
        <v>77</v>
      </c>
      <c r="C77" s="35">
        <f>'Sales-22'!E77</f>
        <v>0</v>
      </c>
      <c r="D77" s="35">
        <f>'Sales-23'!E77</f>
        <v>0</v>
      </c>
      <c r="E77" s="35">
        <f>'Sales-24'!E77</f>
        <v>0</v>
      </c>
      <c r="F77" s="35">
        <f>'Sales-25'!E77</f>
        <v>0</v>
      </c>
      <c r="G77" s="35">
        <f>'Sales-26'!E77</f>
        <v>2000</v>
      </c>
      <c r="H77" s="35">
        <f>'Sales-27'!E77</f>
        <v>0</v>
      </c>
      <c r="I77" s="35">
        <f>'Sales-28'!E77</f>
        <v>0</v>
      </c>
      <c r="J77" s="33">
        <f t="shared" si="1"/>
        <v>2000</v>
      </c>
      <c r="R77"/>
    </row>
    <row r="78" spans="1:18" ht="15" thickBot="1" x14ac:dyDescent="0.35">
      <c r="A78" s="25" t="s">
        <v>8</v>
      </c>
      <c r="B78" s="26" t="s">
        <v>78</v>
      </c>
      <c r="C78" s="35">
        <f>'Sales-22'!E78</f>
        <v>2000</v>
      </c>
      <c r="D78" s="35">
        <f>'Sales-23'!E78</f>
        <v>0</v>
      </c>
      <c r="E78" s="35">
        <f>'Sales-24'!E78</f>
        <v>0</v>
      </c>
      <c r="F78" s="35">
        <f>'Sales-25'!E78</f>
        <v>0</v>
      </c>
      <c r="G78" s="35">
        <f>'Sales-26'!E78</f>
        <v>0</v>
      </c>
      <c r="H78" s="35">
        <f>'Sales-27'!E78</f>
        <v>0</v>
      </c>
      <c r="I78" s="35">
        <f>'Sales-28'!E78</f>
        <v>0</v>
      </c>
      <c r="J78" s="33">
        <f t="shared" si="1"/>
        <v>2000</v>
      </c>
      <c r="R78"/>
    </row>
    <row r="79" spans="1:18" ht="15" thickBot="1" x14ac:dyDescent="0.35">
      <c r="A79" s="35"/>
      <c r="B79" s="35"/>
      <c r="C79" s="35">
        <f>'Sales-22'!E79</f>
        <v>0</v>
      </c>
      <c r="D79" s="35">
        <f>'Sales-23'!E79</f>
        <v>0</v>
      </c>
      <c r="E79" s="35">
        <f>'Sales-24'!E79</f>
        <v>0</v>
      </c>
      <c r="F79" s="35">
        <f>'Sales-25'!E79</f>
        <v>0</v>
      </c>
      <c r="G79" s="35">
        <f>'Sales-26'!E79</f>
        <v>0</v>
      </c>
      <c r="H79" s="35">
        <f>'Sales-27'!E79</f>
        <v>0</v>
      </c>
      <c r="I79" s="35">
        <f>'Sales-28'!E79</f>
        <v>0</v>
      </c>
      <c r="J79" s="33">
        <f t="shared" si="1"/>
        <v>0</v>
      </c>
      <c r="R79"/>
    </row>
    <row r="80" spans="1:18" ht="15" thickBot="1" x14ac:dyDescent="0.35">
      <c r="A80" s="30">
        <v>8</v>
      </c>
      <c r="B80" s="22" t="s">
        <v>96</v>
      </c>
      <c r="C80" s="35">
        <f>'Sales-22'!E80</f>
        <v>0</v>
      </c>
      <c r="D80" s="35">
        <f>'Sales-23'!E80</f>
        <v>0</v>
      </c>
      <c r="E80" s="35">
        <f>'Sales-24'!E80</f>
        <v>0</v>
      </c>
      <c r="F80" s="35">
        <f>'Sales-25'!E80</f>
        <v>0</v>
      </c>
      <c r="G80" s="35">
        <f>'Sales-26'!E80</f>
        <v>0</v>
      </c>
      <c r="H80" s="35">
        <f>'Sales-27'!E80</f>
        <v>0</v>
      </c>
      <c r="I80" s="35">
        <f>'Sales-28'!E80</f>
        <v>0</v>
      </c>
      <c r="J80" s="33">
        <f t="shared" si="1"/>
        <v>0</v>
      </c>
      <c r="R80"/>
    </row>
    <row r="81" spans="1:18" ht="15" thickBot="1" x14ac:dyDescent="0.35">
      <c r="A81" s="25" t="s">
        <v>6</v>
      </c>
      <c r="B81" s="26" t="s">
        <v>97</v>
      </c>
      <c r="C81" s="35">
        <f>'Sales-22'!E81</f>
        <v>0</v>
      </c>
      <c r="D81" s="35">
        <f>'Sales-23'!E81</f>
        <v>0</v>
      </c>
      <c r="E81" s="35">
        <f>'Sales-24'!E81</f>
        <v>0</v>
      </c>
      <c r="F81" s="35">
        <f>'Sales-25'!E81</f>
        <v>0</v>
      </c>
      <c r="G81" s="35">
        <f>'Sales-26'!E81</f>
        <v>0</v>
      </c>
      <c r="H81" s="35">
        <f>'Sales-27'!E81</f>
        <v>0</v>
      </c>
      <c r="I81" s="35">
        <f>'Sales-28'!E81</f>
        <v>0</v>
      </c>
      <c r="J81" s="33">
        <f t="shared" si="1"/>
        <v>0</v>
      </c>
      <c r="R81"/>
    </row>
    <row r="82" spans="1:18" ht="15" thickBot="1" x14ac:dyDescent="0.35">
      <c r="A82" s="47"/>
      <c r="B82" s="47"/>
      <c r="C82" s="47"/>
      <c r="D82" s="35"/>
      <c r="E82" s="47"/>
      <c r="F82" s="47"/>
      <c r="G82" s="47"/>
      <c r="H82" s="36"/>
      <c r="I82" s="47"/>
      <c r="J82" s="33">
        <f t="shared" si="1"/>
        <v>0</v>
      </c>
      <c r="R82"/>
    </row>
    <row r="83" spans="1:18" ht="15" thickBot="1" x14ac:dyDescent="0.35">
      <c r="G83" s="36"/>
      <c r="H83" s="36"/>
      <c r="I83"/>
      <c r="J83" s="33">
        <f t="shared" si="1"/>
        <v>0</v>
      </c>
      <c r="R83"/>
    </row>
    <row r="84" spans="1:18" ht="15" thickBot="1" x14ac:dyDescent="0.35">
      <c r="I84" s="36"/>
      <c r="J84" s="33">
        <f t="shared" si="1"/>
        <v>0</v>
      </c>
      <c r="R84"/>
    </row>
    <row r="85" spans="1:18" s="39" customFormat="1" ht="16.2" thickBot="1" x14ac:dyDescent="0.35">
      <c r="B85" s="39" t="s">
        <v>80</v>
      </c>
      <c r="C85" s="40">
        <f>SUM(C3:C84)</f>
        <v>86500</v>
      </c>
      <c r="D85" s="40">
        <f t="shared" ref="D85:I85" si="2">SUM(D3:D84)</f>
        <v>48850</v>
      </c>
      <c r="E85" s="40">
        <f t="shared" si="2"/>
        <v>76650</v>
      </c>
      <c r="F85" s="40">
        <f t="shared" si="2"/>
        <v>133500</v>
      </c>
      <c r="G85" s="40">
        <f t="shared" si="2"/>
        <v>84300</v>
      </c>
      <c r="H85" s="40">
        <f t="shared" si="2"/>
        <v>101200</v>
      </c>
      <c r="I85" s="40">
        <f t="shared" si="2"/>
        <v>56150</v>
      </c>
      <c r="J85" s="33">
        <f t="shared" si="1"/>
        <v>587150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8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4"/>
  <sheetViews>
    <sheetView topLeftCell="A20" zoomScale="77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  <col min="14" max="14" width="8.88671875" customWidth="1"/>
  </cols>
  <sheetData>
    <row r="1" spans="1:15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  <c r="M1"/>
    </row>
    <row r="2" spans="1:15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  <c r="M2"/>
      <c r="O2" s="50"/>
    </row>
    <row r="3" spans="1:15" x14ac:dyDescent="0.3">
      <c r="A3" s="11" t="s">
        <v>6</v>
      </c>
      <c r="B3" t="s">
        <v>7</v>
      </c>
      <c r="C3" s="49">
        <v>700</v>
      </c>
      <c r="D3">
        <v>4</v>
      </c>
      <c r="E3" s="13">
        <f t="shared" ref="E3:E78" si="0">D3*C3</f>
        <v>2800</v>
      </c>
      <c r="J3" s="31"/>
      <c r="M3"/>
      <c r="O3" s="50"/>
    </row>
    <row r="4" spans="1:15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  <c r="M4"/>
      <c r="O4" s="50"/>
    </row>
    <row r="5" spans="1:15" x14ac:dyDescent="0.3">
      <c r="A5" s="11" t="s">
        <v>10</v>
      </c>
      <c r="B5" t="s">
        <v>11</v>
      </c>
      <c r="C5" s="49">
        <v>800</v>
      </c>
      <c r="D5"/>
      <c r="E5" s="13">
        <f t="shared" si="0"/>
        <v>0</v>
      </c>
      <c r="K5" s="51"/>
      <c r="M5"/>
    </row>
    <row r="6" spans="1:15" x14ac:dyDescent="0.3">
      <c r="A6" s="11" t="s">
        <v>12</v>
      </c>
      <c r="B6" t="s">
        <v>13</v>
      </c>
      <c r="C6" s="12">
        <v>1000</v>
      </c>
      <c r="D6">
        <v>3</v>
      </c>
      <c r="E6" s="13">
        <f t="shared" si="0"/>
        <v>3000</v>
      </c>
      <c r="M6"/>
    </row>
    <row r="7" spans="1:15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  <c r="M7"/>
      <c r="O7" s="50"/>
    </row>
    <row r="8" spans="1:15" x14ac:dyDescent="0.3">
      <c r="A8" s="11" t="s">
        <v>22</v>
      </c>
      <c r="B8" t="s">
        <v>63</v>
      </c>
      <c r="C8" s="12">
        <v>1200</v>
      </c>
      <c r="D8">
        <v>2</v>
      </c>
      <c r="E8" s="13">
        <f t="shared" si="0"/>
        <v>2400</v>
      </c>
      <c r="M8"/>
      <c r="O8" s="50"/>
    </row>
    <row r="9" spans="1:15" x14ac:dyDescent="0.3">
      <c r="A9" s="11"/>
      <c r="C9" s="12"/>
      <c r="D9"/>
      <c r="E9" s="13">
        <f t="shared" si="0"/>
        <v>0</v>
      </c>
      <c r="M9"/>
      <c r="N9" s="50"/>
      <c r="O9" s="50"/>
    </row>
    <row r="10" spans="1:15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/>
      <c r="O10" s="50"/>
    </row>
    <row r="11" spans="1:15" x14ac:dyDescent="0.3">
      <c r="A11" s="11" t="s">
        <v>6</v>
      </c>
      <c r="B11" t="s">
        <v>17</v>
      </c>
      <c r="C11" s="12">
        <v>400</v>
      </c>
      <c r="D11"/>
      <c r="E11" s="13">
        <f t="shared" si="0"/>
        <v>0</v>
      </c>
      <c r="M11"/>
      <c r="O11" s="50"/>
    </row>
    <row r="12" spans="1:15" x14ac:dyDescent="0.3">
      <c r="A12" s="11" t="s">
        <v>8</v>
      </c>
      <c r="B12" t="s">
        <v>18</v>
      </c>
      <c r="C12" s="12">
        <v>400</v>
      </c>
      <c r="D12">
        <v>1</v>
      </c>
      <c r="E12" s="13">
        <f t="shared" si="0"/>
        <v>400</v>
      </c>
      <c r="J12" s="31"/>
      <c r="M12"/>
    </row>
    <row r="13" spans="1:15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/>
      <c r="O13" s="50"/>
    </row>
    <row r="14" spans="1:15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/>
    </row>
    <row r="15" spans="1:15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  <c r="M15"/>
    </row>
    <row r="16" spans="1:15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/>
    </row>
    <row r="17" spans="1:15" x14ac:dyDescent="0.3">
      <c r="A17" s="11" t="s">
        <v>24</v>
      </c>
      <c r="B17" t="s">
        <v>25</v>
      </c>
      <c r="C17" s="12">
        <v>400</v>
      </c>
      <c r="D17">
        <v>3</v>
      </c>
      <c r="E17" s="13">
        <f t="shared" si="0"/>
        <v>1200</v>
      </c>
      <c r="J17" s="31"/>
      <c r="M17"/>
      <c r="O17" s="50"/>
    </row>
    <row r="18" spans="1:15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  <c r="O18" s="50"/>
    </row>
    <row r="19" spans="1:15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  <c r="M19" s="50"/>
      <c r="O19" s="50"/>
    </row>
    <row r="20" spans="1:15" x14ac:dyDescent="0.3">
      <c r="A20" s="11" t="s">
        <v>30</v>
      </c>
      <c r="B20" t="s">
        <v>31</v>
      </c>
      <c r="C20" s="12">
        <f>5300/11</f>
        <v>481.81818181818181</v>
      </c>
      <c r="D20">
        <v>11</v>
      </c>
      <c r="E20" s="13">
        <f t="shared" si="0"/>
        <v>5300</v>
      </c>
      <c r="M20" s="50"/>
      <c r="O20" s="50"/>
    </row>
    <row r="21" spans="1:15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  <c r="M21"/>
      <c r="O21" s="50"/>
    </row>
    <row r="22" spans="1:15" x14ac:dyDescent="0.3">
      <c r="A22" s="11" t="s">
        <v>34</v>
      </c>
      <c r="B22" t="s">
        <v>35</v>
      </c>
      <c r="C22" s="12">
        <v>400</v>
      </c>
      <c r="D22">
        <v>2</v>
      </c>
      <c r="E22" s="13">
        <f t="shared" si="0"/>
        <v>800</v>
      </c>
      <c r="M22"/>
    </row>
    <row r="23" spans="1:15" x14ac:dyDescent="0.3">
      <c r="A23" s="11" t="s">
        <v>66</v>
      </c>
      <c r="B23" t="s">
        <v>91</v>
      </c>
      <c r="C23" s="12">
        <v>400</v>
      </c>
      <c r="D23">
        <v>1</v>
      </c>
      <c r="E23" s="13">
        <f t="shared" si="0"/>
        <v>400</v>
      </c>
      <c r="M23"/>
    </row>
    <row r="24" spans="1:15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M24" s="50"/>
      <c r="O24" s="50"/>
    </row>
    <row r="25" spans="1:15" x14ac:dyDescent="0.3">
      <c r="A25" s="11" t="s">
        <v>70</v>
      </c>
      <c r="B25" t="s">
        <v>94</v>
      </c>
      <c r="C25" s="12">
        <v>700</v>
      </c>
      <c r="D25">
        <v>1</v>
      </c>
      <c r="E25" s="13">
        <f t="shared" si="0"/>
        <v>700</v>
      </c>
      <c r="M25" s="50"/>
      <c r="O25" s="50"/>
    </row>
    <row r="26" spans="1:15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5" x14ac:dyDescent="0.3">
      <c r="A27" s="11"/>
      <c r="C27" s="12"/>
      <c r="D27"/>
      <c r="E27" s="13">
        <f t="shared" si="0"/>
        <v>0</v>
      </c>
    </row>
    <row r="28" spans="1:1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5" x14ac:dyDescent="0.3">
      <c r="A29" s="11" t="s">
        <v>6</v>
      </c>
      <c r="B29" t="s">
        <v>37</v>
      </c>
      <c r="C29" s="12">
        <v>100</v>
      </c>
      <c r="D29">
        <v>320</v>
      </c>
      <c r="E29" s="13">
        <f t="shared" si="0"/>
        <v>32000</v>
      </c>
    </row>
    <row r="30" spans="1:15" x14ac:dyDescent="0.3">
      <c r="A30" s="11" t="s">
        <v>8</v>
      </c>
      <c r="B30" t="s">
        <v>38</v>
      </c>
      <c r="C30" s="12">
        <v>200</v>
      </c>
      <c r="D30">
        <v>36.5</v>
      </c>
      <c r="E30" s="13">
        <f t="shared" si="0"/>
        <v>7300</v>
      </c>
    </row>
    <row r="31" spans="1:1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1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2</v>
      </c>
      <c r="E42" s="13">
        <f t="shared" si="0"/>
        <v>1400</v>
      </c>
    </row>
    <row r="43" spans="1:10" x14ac:dyDescent="0.3">
      <c r="A43" s="11" t="s">
        <v>8</v>
      </c>
      <c r="B43" t="s">
        <v>46</v>
      </c>
      <c r="C43" s="12">
        <f>2150/12</f>
        <v>179.16666666666666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9</v>
      </c>
      <c r="E49" s="13">
        <f t="shared" si="0"/>
        <v>900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13700</v>
      </c>
      <c r="D53">
        <v>1</v>
      </c>
      <c r="E53" s="13">
        <f t="shared" si="0"/>
        <v>13700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3</v>
      </c>
      <c r="E62" s="13">
        <f t="shared" si="0"/>
        <v>2400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>
        <v>1</v>
      </c>
      <c r="E70" s="13">
        <f t="shared" si="0"/>
        <v>500</v>
      </c>
      <c r="M70"/>
    </row>
    <row r="71" spans="1:13" x14ac:dyDescent="0.3">
      <c r="A71" s="11" t="s">
        <v>85</v>
      </c>
      <c r="B71" s="14" t="s">
        <v>86</v>
      </c>
      <c r="C71" s="12">
        <v>400</v>
      </c>
      <c r="D71">
        <v>6</v>
      </c>
      <c r="E71" s="13">
        <f t="shared" si="0"/>
        <v>2400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0"/>
        <v>0</v>
      </c>
      <c r="M73"/>
    </row>
    <row r="74" spans="1:13" x14ac:dyDescent="0.3">
      <c r="A74" s="11" t="s">
        <v>100</v>
      </c>
      <c r="B74" s="14" t="s">
        <v>101</v>
      </c>
      <c r="C74" s="12">
        <v>300</v>
      </c>
      <c r="D74">
        <v>1</v>
      </c>
      <c r="E74" s="13">
        <f t="shared" si="0"/>
        <v>300</v>
      </c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>
        <v>1</v>
      </c>
      <c r="E78" s="13">
        <f t="shared" si="0"/>
        <v>2000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86500</v>
      </c>
    </row>
    <row r="84" spans="1:13" x14ac:dyDescent="0.3">
      <c r="M8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3"/>
  <sheetViews>
    <sheetView topLeftCell="A39" zoomScale="9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4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  <c r="M1"/>
    </row>
    <row r="2" spans="1:14" ht="15" thickBot="1" x14ac:dyDescent="0.35">
      <c r="A2" s="21">
        <v>1</v>
      </c>
      <c r="B2" s="22" t="s">
        <v>5</v>
      </c>
      <c r="C2" s="23"/>
      <c r="D2" s="23"/>
      <c r="E2" s="24" t="s">
        <v>82</v>
      </c>
      <c r="M2"/>
      <c r="N2" s="50"/>
    </row>
    <row r="3" spans="1:14" ht="15" thickBot="1" x14ac:dyDescent="0.35">
      <c r="A3" s="25" t="s">
        <v>6</v>
      </c>
      <c r="B3" s="26" t="s">
        <v>7</v>
      </c>
      <c r="C3" s="27">
        <v>600</v>
      </c>
      <c r="D3" s="27"/>
      <c r="E3" s="38">
        <f>C3*D3</f>
        <v>0</v>
      </c>
      <c r="M3" s="50"/>
      <c r="N3" s="50"/>
    </row>
    <row r="4" spans="1:14" ht="15" thickBot="1" x14ac:dyDescent="0.35">
      <c r="A4" s="25" t="s">
        <v>8</v>
      </c>
      <c r="B4" s="26" t="s">
        <v>9</v>
      </c>
      <c r="C4" s="27">
        <v>700</v>
      </c>
      <c r="D4" s="27">
        <v>2</v>
      </c>
      <c r="E4" s="38">
        <f t="shared" ref="E4:E76" si="0">C4*D4</f>
        <v>1400</v>
      </c>
      <c r="M4"/>
      <c r="N4" s="50"/>
    </row>
    <row r="5" spans="1:14" ht="15" thickBot="1" x14ac:dyDescent="0.35">
      <c r="A5" s="25" t="s">
        <v>10</v>
      </c>
      <c r="B5" s="26" t="s">
        <v>11</v>
      </c>
      <c r="C5" s="27">
        <v>900</v>
      </c>
      <c r="D5" s="26">
        <v>4</v>
      </c>
      <c r="E5" s="38">
        <f t="shared" si="0"/>
        <v>3600</v>
      </c>
      <c r="M5"/>
      <c r="N5" s="50"/>
    </row>
    <row r="6" spans="1:14" ht="15" thickBot="1" x14ac:dyDescent="0.35">
      <c r="A6" s="25" t="s">
        <v>12</v>
      </c>
      <c r="B6" s="26" t="s">
        <v>13</v>
      </c>
      <c r="C6" s="27">
        <v>1000</v>
      </c>
      <c r="D6" s="27">
        <v>1</v>
      </c>
      <c r="E6" s="38">
        <f t="shared" si="0"/>
        <v>1000</v>
      </c>
      <c r="M6"/>
      <c r="N6" s="50"/>
    </row>
    <row r="7" spans="1:14" ht="15" thickBot="1" x14ac:dyDescent="0.35">
      <c r="A7" s="25" t="s">
        <v>14</v>
      </c>
      <c r="B7" s="26" t="s">
        <v>15</v>
      </c>
      <c r="C7" s="27">
        <v>500</v>
      </c>
      <c r="D7" s="26"/>
      <c r="E7" s="38">
        <f t="shared" si="0"/>
        <v>0</v>
      </c>
      <c r="M7"/>
      <c r="N7" s="50"/>
    </row>
    <row r="8" spans="1:14" ht="15" thickBot="1" x14ac:dyDescent="0.35">
      <c r="A8" s="11" t="s">
        <v>22</v>
      </c>
      <c r="B8" t="s">
        <v>63</v>
      </c>
      <c r="C8" s="12">
        <v>1000</v>
      </c>
      <c r="D8" s="26"/>
      <c r="E8" s="38"/>
      <c r="M8"/>
      <c r="N8" s="50"/>
    </row>
    <row r="9" spans="1:14" ht="15" thickBot="1" x14ac:dyDescent="0.35">
      <c r="A9" s="28"/>
      <c r="B9" s="26"/>
      <c r="C9" s="26"/>
      <c r="D9" s="26"/>
      <c r="E9" s="38">
        <f t="shared" si="0"/>
        <v>0</v>
      </c>
      <c r="M9"/>
    </row>
    <row r="10" spans="1:14" ht="15" thickBot="1" x14ac:dyDescent="0.35">
      <c r="A10" s="21">
        <v>2</v>
      </c>
      <c r="B10" s="22" t="s">
        <v>16</v>
      </c>
      <c r="C10" s="23"/>
      <c r="D10" s="23"/>
      <c r="E10" s="38">
        <f t="shared" si="0"/>
        <v>0</v>
      </c>
      <c r="M10"/>
      <c r="N10" s="50"/>
    </row>
    <row r="11" spans="1:14" ht="15" thickBot="1" x14ac:dyDescent="0.35">
      <c r="A11" s="25" t="s">
        <v>6</v>
      </c>
      <c r="B11" s="26" t="s">
        <v>17</v>
      </c>
      <c r="C11" s="27">
        <v>400</v>
      </c>
      <c r="D11" s="26"/>
      <c r="E11" s="38">
        <f t="shared" si="0"/>
        <v>0</v>
      </c>
      <c r="M11"/>
    </row>
    <row r="12" spans="1:14" ht="15" thickBot="1" x14ac:dyDescent="0.35">
      <c r="A12" s="25" t="s">
        <v>8</v>
      </c>
      <c r="B12" s="26" t="s">
        <v>18</v>
      </c>
      <c r="C12" s="27">
        <v>400</v>
      </c>
      <c r="D12" s="26">
        <v>3</v>
      </c>
      <c r="E12" s="38">
        <f t="shared" si="0"/>
        <v>1200</v>
      </c>
      <c r="M12"/>
      <c r="N12" s="50"/>
    </row>
    <row r="13" spans="1:14" ht="15" thickBot="1" x14ac:dyDescent="0.35">
      <c r="A13" s="25" t="s">
        <v>10</v>
      </c>
      <c r="B13" s="26" t="s">
        <v>19</v>
      </c>
      <c r="C13" s="29">
        <v>1500</v>
      </c>
      <c r="D13" s="26"/>
      <c r="E13" s="38">
        <f t="shared" si="0"/>
        <v>0</v>
      </c>
      <c r="M13"/>
      <c r="N13" s="50"/>
    </row>
    <row r="14" spans="1:14" ht="15" thickBot="1" x14ac:dyDescent="0.35">
      <c r="A14" s="25" t="s">
        <v>12</v>
      </c>
      <c r="B14" s="26" t="s">
        <v>20</v>
      </c>
      <c r="C14" s="27">
        <v>700</v>
      </c>
      <c r="D14" s="26"/>
      <c r="E14" s="38">
        <f t="shared" si="0"/>
        <v>0</v>
      </c>
      <c r="L14" s="50"/>
      <c r="M14"/>
      <c r="N14" s="50"/>
    </row>
    <row r="15" spans="1:14" ht="15" thickBot="1" x14ac:dyDescent="0.35">
      <c r="A15" s="25" t="s">
        <v>14</v>
      </c>
      <c r="B15" s="26" t="s">
        <v>21</v>
      </c>
      <c r="C15" s="29">
        <v>1500</v>
      </c>
      <c r="D15" s="26">
        <v>1</v>
      </c>
      <c r="E15" s="38">
        <f t="shared" si="0"/>
        <v>1500</v>
      </c>
      <c r="M15"/>
    </row>
    <row r="16" spans="1:14" ht="15" thickBot="1" x14ac:dyDescent="0.35">
      <c r="A16" s="25" t="s">
        <v>22</v>
      </c>
      <c r="B16" s="26" t="s">
        <v>23</v>
      </c>
      <c r="C16" s="27">
        <v>400</v>
      </c>
      <c r="D16" s="27"/>
      <c r="E16" s="38">
        <f t="shared" si="0"/>
        <v>0</v>
      </c>
      <c r="M16"/>
    </row>
    <row r="17" spans="1:14" ht="15" thickBot="1" x14ac:dyDescent="0.35">
      <c r="A17" s="25" t="s">
        <v>24</v>
      </c>
      <c r="B17" s="26" t="s">
        <v>25</v>
      </c>
      <c r="C17" s="27">
        <v>400</v>
      </c>
      <c r="D17" s="27">
        <v>1</v>
      </c>
      <c r="E17" s="38">
        <f t="shared" si="0"/>
        <v>400</v>
      </c>
      <c r="M17"/>
    </row>
    <row r="18" spans="1:14" ht="15" thickBot="1" x14ac:dyDescent="0.35">
      <c r="A18" s="25" t="s">
        <v>26</v>
      </c>
      <c r="B18" s="26" t="s">
        <v>27</v>
      </c>
      <c r="C18" s="27">
        <v>200</v>
      </c>
      <c r="D18" s="26"/>
      <c r="E18" s="38">
        <f t="shared" si="0"/>
        <v>0</v>
      </c>
      <c r="M18"/>
    </row>
    <row r="19" spans="1:14" ht="15" thickBot="1" x14ac:dyDescent="0.35">
      <c r="A19" s="25" t="s">
        <v>28</v>
      </c>
      <c r="B19" s="26" t="s">
        <v>29</v>
      </c>
      <c r="C19" s="27">
        <v>400</v>
      </c>
      <c r="D19" s="27">
        <v>1</v>
      </c>
      <c r="E19" s="38">
        <f t="shared" si="0"/>
        <v>400</v>
      </c>
      <c r="M19"/>
    </row>
    <row r="20" spans="1:14" ht="15" thickBot="1" x14ac:dyDescent="0.35">
      <c r="A20" s="25" t="s">
        <v>30</v>
      </c>
      <c r="B20" s="26" t="s">
        <v>31</v>
      </c>
      <c r="C20" s="27">
        <v>500</v>
      </c>
      <c r="D20" s="27">
        <v>4</v>
      </c>
      <c r="E20" s="38">
        <f t="shared" si="0"/>
        <v>2000</v>
      </c>
      <c r="L20" s="50"/>
      <c r="M20"/>
      <c r="N20" s="50"/>
    </row>
    <row r="21" spans="1:14" ht="15" thickBot="1" x14ac:dyDescent="0.35">
      <c r="A21" s="25" t="s">
        <v>32</v>
      </c>
      <c r="B21" s="26" t="s">
        <v>33</v>
      </c>
      <c r="C21" s="27">
        <v>200</v>
      </c>
      <c r="D21" s="27">
        <v>7</v>
      </c>
      <c r="E21" s="38">
        <f t="shared" si="0"/>
        <v>1400</v>
      </c>
      <c r="M21"/>
      <c r="N21" s="50"/>
    </row>
    <row r="22" spans="1:14" ht="15" thickBot="1" x14ac:dyDescent="0.35">
      <c r="A22" s="25" t="s">
        <v>34</v>
      </c>
      <c r="B22" s="26" t="s">
        <v>35</v>
      </c>
      <c r="C22" s="27">
        <f>1400/3</f>
        <v>466.66666666666669</v>
      </c>
      <c r="D22" s="27">
        <v>3</v>
      </c>
      <c r="E22" s="38">
        <f t="shared" si="0"/>
        <v>1400</v>
      </c>
      <c r="L22" s="50"/>
      <c r="M22"/>
      <c r="N22" s="50"/>
    </row>
    <row r="23" spans="1:14" ht="15" thickBot="1" x14ac:dyDescent="0.35">
      <c r="A23" s="25" t="s">
        <v>66</v>
      </c>
      <c r="B23" t="s">
        <v>91</v>
      </c>
      <c r="C23" s="27">
        <v>300</v>
      </c>
      <c r="D23" s="27"/>
      <c r="E23" s="38">
        <f t="shared" si="0"/>
        <v>0</v>
      </c>
      <c r="M23"/>
      <c r="N23" s="50"/>
    </row>
    <row r="24" spans="1:14" ht="15" thickBot="1" x14ac:dyDescent="0.35">
      <c r="A24" s="25" t="s">
        <v>68</v>
      </c>
      <c r="B24" t="s">
        <v>92</v>
      </c>
      <c r="C24" s="27">
        <v>400</v>
      </c>
      <c r="D24" s="27"/>
      <c r="E24" s="38">
        <f t="shared" si="0"/>
        <v>0</v>
      </c>
      <c r="L24" s="50"/>
      <c r="M24"/>
      <c r="N24" s="50"/>
    </row>
    <row r="25" spans="1:14" ht="15" thickBot="1" x14ac:dyDescent="0.35">
      <c r="A25" s="25" t="s">
        <v>70</v>
      </c>
      <c r="B25" t="s">
        <v>94</v>
      </c>
      <c r="C25" s="27">
        <v>600</v>
      </c>
      <c r="D25" s="27"/>
      <c r="E25" s="38">
        <f t="shared" si="0"/>
        <v>0</v>
      </c>
    </row>
    <row r="26" spans="1:14" ht="15" thickBot="1" x14ac:dyDescent="0.35">
      <c r="A26" s="25" t="s">
        <v>72</v>
      </c>
      <c r="B26" t="s">
        <v>93</v>
      </c>
      <c r="C26" s="27">
        <v>400</v>
      </c>
      <c r="D26" s="27"/>
      <c r="E26" s="38">
        <f t="shared" si="0"/>
        <v>0</v>
      </c>
    </row>
    <row r="27" spans="1:14" ht="15" thickBot="1" x14ac:dyDescent="0.35">
      <c r="A27" s="28"/>
      <c r="B27" s="26"/>
      <c r="C27" s="26"/>
      <c r="D27" s="26"/>
      <c r="E27" s="38">
        <f t="shared" si="0"/>
        <v>0</v>
      </c>
    </row>
    <row r="28" spans="1:14" ht="15" thickBot="1" x14ac:dyDescent="0.35">
      <c r="A28" s="21">
        <v>3</v>
      </c>
      <c r="B28" s="22" t="s">
        <v>36</v>
      </c>
      <c r="C28" s="23"/>
      <c r="D28" s="23"/>
      <c r="E28" s="38">
        <f t="shared" si="0"/>
        <v>0</v>
      </c>
    </row>
    <row r="29" spans="1:14" ht="15" thickBot="1" x14ac:dyDescent="0.35">
      <c r="A29" s="25" t="s">
        <v>6</v>
      </c>
      <c r="B29" s="26" t="s">
        <v>37</v>
      </c>
      <c r="C29" s="27">
        <v>100</v>
      </c>
      <c r="D29" s="27">
        <v>65</v>
      </c>
      <c r="E29" s="38">
        <f t="shared" si="0"/>
        <v>6500</v>
      </c>
    </row>
    <row r="30" spans="1:14" ht="15" thickBot="1" x14ac:dyDescent="0.35">
      <c r="A30" s="25" t="s">
        <v>8</v>
      </c>
      <c r="B30" s="26" t="s">
        <v>38</v>
      </c>
      <c r="C30" s="27">
        <v>200</v>
      </c>
      <c r="D30" s="27">
        <v>25</v>
      </c>
      <c r="E30" s="38">
        <f t="shared" si="0"/>
        <v>5000</v>
      </c>
    </row>
    <row r="31" spans="1:14" ht="15" thickBot="1" x14ac:dyDescent="0.35">
      <c r="A31" s="25" t="s">
        <v>10</v>
      </c>
      <c r="B31" s="26" t="s">
        <v>39</v>
      </c>
      <c r="C31" s="26"/>
      <c r="D31" s="26"/>
      <c r="E31" s="38">
        <f t="shared" si="0"/>
        <v>0</v>
      </c>
    </row>
    <row r="32" spans="1:14" ht="15" thickBot="1" x14ac:dyDescent="0.35">
      <c r="A32" s="25" t="s">
        <v>12</v>
      </c>
      <c r="B32" s="26" t="s">
        <v>40</v>
      </c>
      <c r="C32" s="26"/>
      <c r="D32" s="26"/>
      <c r="E32" s="38">
        <f t="shared" si="0"/>
        <v>0</v>
      </c>
    </row>
    <row r="33" spans="1:10" ht="15" thickBot="1" x14ac:dyDescent="0.35">
      <c r="A33" s="25" t="s">
        <v>14</v>
      </c>
      <c r="B33" s="26" t="s">
        <v>41</v>
      </c>
      <c r="C33" s="26">
        <v>5000</v>
      </c>
      <c r="D33" s="26">
        <v>1</v>
      </c>
      <c r="E33" s="38">
        <f t="shared" si="0"/>
        <v>5000</v>
      </c>
    </row>
    <row r="34" spans="1:10" ht="15" thickBot="1" x14ac:dyDescent="0.35">
      <c r="A34" s="25" t="s">
        <v>22</v>
      </c>
      <c r="B34" s="26" t="s">
        <v>42</v>
      </c>
      <c r="C34" s="27">
        <v>500</v>
      </c>
      <c r="D34" s="26"/>
      <c r="E34" s="38">
        <f t="shared" si="0"/>
        <v>0</v>
      </c>
      <c r="J34" s="31"/>
    </row>
    <row r="35" spans="1:10" ht="15" thickBot="1" x14ac:dyDescent="0.35">
      <c r="A35" s="25" t="s">
        <v>24</v>
      </c>
      <c r="B35" s="26" t="s">
        <v>83</v>
      </c>
      <c r="C35" s="29">
        <v>1000</v>
      </c>
      <c r="D35" s="27"/>
      <c r="E35" s="38">
        <f t="shared" si="0"/>
        <v>0</v>
      </c>
    </row>
    <row r="36" spans="1:10" ht="15" thickBot="1" x14ac:dyDescent="0.35">
      <c r="A36" s="41" t="s">
        <v>26</v>
      </c>
      <c r="B36" s="42" t="s">
        <v>43</v>
      </c>
      <c r="C36" s="43">
        <v>2000</v>
      </c>
      <c r="D36" s="44"/>
      <c r="E36" s="38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8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8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13">
        <f t="shared" ref="E39" si="1">D39*C39</f>
        <v>0</v>
      </c>
    </row>
    <row r="40" spans="1:10" ht="15" thickBot="1" x14ac:dyDescent="0.35">
      <c r="A40" s="26"/>
      <c r="B40" s="26"/>
      <c r="C40" s="26"/>
      <c r="D40" s="26"/>
      <c r="E40" s="38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8">
        <f t="shared" si="0"/>
        <v>0</v>
      </c>
    </row>
    <row r="42" spans="1:10" ht="15" thickBot="1" x14ac:dyDescent="0.35">
      <c r="A42" s="25" t="s">
        <v>6</v>
      </c>
      <c r="B42" s="26" t="s">
        <v>45</v>
      </c>
      <c r="C42" s="29">
        <v>700</v>
      </c>
      <c r="D42" s="27">
        <v>2</v>
      </c>
      <c r="E42" s="38">
        <f t="shared" si="0"/>
        <v>1400</v>
      </c>
    </row>
    <row r="43" spans="1:10" ht="15" thickBot="1" x14ac:dyDescent="0.35">
      <c r="A43" s="25" t="s">
        <v>8</v>
      </c>
      <c r="B43" s="26" t="s">
        <v>46</v>
      </c>
      <c r="C43" s="27">
        <v>1050</v>
      </c>
      <c r="D43" s="27">
        <v>1</v>
      </c>
      <c r="E43" s="38">
        <f t="shared" si="0"/>
        <v>1050</v>
      </c>
    </row>
    <row r="44" spans="1:10" ht="15" thickBot="1" x14ac:dyDescent="0.35">
      <c r="A44" s="25" t="s">
        <v>10</v>
      </c>
      <c r="B44" s="26" t="s">
        <v>47</v>
      </c>
      <c r="C44" s="26"/>
      <c r="D44" s="26"/>
      <c r="E44" s="38">
        <f t="shared" si="0"/>
        <v>0</v>
      </c>
    </row>
    <row r="45" spans="1:10" ht="15" thickBot="1" x14ac:dyDescent="0.35">
      <c r="A45" s="25" t="s">
        <v>12</v>
      </c>
      <c r="B45" s="26" t="s">
        <v>48</v>
      </c>
      <c r="C45" s="26"/>
      <c r="D45" s="26"/>
      <c r="E45" s="38">
        <f t="shared" si="0"/>
        <v>0</v>
      </c>
    </row>
    <row r="46" spans="1:10" ht="15" thickBot="1" x14ac:dyDescent="0.35">
      <c r="A46" s="25" t="s">
        <v>14</v>
      </c>
      <c r="B46" s="26" t="s">
        <v>49</v>
      </c>
      <c r="C46" s="26"/>
      <c r="D46" s="26"/>
      <c r="E46" s="38">
        <f t="shared" si="0"/>
        <v>0</v>
      </c>
    </row>
    <row r="47" spans="1:10" ht="15" thickBot="1" x14ac:dyDescent="0.35">
      <c r="A47" s="26"/>
      <c r="B47" s="26"/>
      <c r="C47" s="26"/>
      <c r="D47" s="26"/>
      <c r="E47" s="38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8">
        <f t="shared" si="0"/>
        <v>0</v>
      </c>
    </row>
    <row r="49" spans="1:5" ht="15" thickBot="1" x14ac:dyDescent="0.35">
      <c r="A49" s="25" t="s">
        <v>6</v>
      </c>
      <c r="B49" s="45" t="s">
        <v>51</v>
      </c>
      <c r="C49" s="27">
        <v>100</v>
      </c>
      <c r="D49" s="27">
        <v>15</v>
      </c>
      <c r="E49" s="38">
        <f t="shared" si="0"/>
        <v>1500</v>
      </c>
    </row>
    <row r="50" spans="1:5" ht="15" thickBot="1" x14ac:dyDescent="0.35">
      <c r="A50" s="25" t="s">
        <v>8</v>
      </c>
      <c r="B50" s="26" t="s">
        <v>52</v>
      </c>
      <c r="C50" s="27">
        <v>200</v>
      </c>
      <c r="D50" s="26"/>
      <c r="E50" s="38">
        <f t="shared" si="0"/>
        <v>0</v>
      </c>
    </row>
    <row r="51" spans="1:5" ht="15" thickBot="1" x14ac:dyDescent="0.35">
      <c r="A51" s="28"/>
      <c r="B51" s="26"/>
      <c r="C51" s="26"/>
      <c r="D51" s="26"/>
      <c r="E51" s="38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8">
        <f t="shared" si="0"/>
        <v>0</v>
      </c>
    </row>
    <row r="53" spans="1:5" ht="15" thickBot="1" x14ac:dyDescent="0.35">
      <c r="A53" s="25" t="s">
        <v>6</v>
      </c>
      <c r="B53" s="26" t="s">
        <v>54</v>
      </c>
      <c r="C53" s="29">
        <v>8400</v>
      </c>
      <c r="D53" s="27">
        <v>1</v>
      </c>
      <c r="E53" s="38">
        <f t="shared" si="0"/>
        <v>8400</v>
      </c>
    </row>
    <row r="54" spans="1:5" ht="15" thickBot="1" x14ac:dyDescent="0.35">
      <c r="A54" s="25" t="s">
        <v>8</v>
      </c>
      <c r="B54" s="26" t="s">
        <v>55</v>
      </c>
      <c r="C54" s="27">
        <v>300</v>
      </c>
      <c r="D54" s="26"/>
      <c r="E54" s="38">
        <f t="shared" si="0"/>
        <v>0</v>
      </c>
    </row>
    <row r="55" spans="1:5" ht="15" thickBot="1" x14ac:dyDescent="0.35">
      <c r="A55" s="25" t="s">
        <v>10</v>
      </c>
      <c r="B55" s="26" t="s">
        <v>56</v>
      </c>
      <c r="C55" s="27">
        <v>800</v>
      </c>
      <c r="D55" s="26">
        <v>1</v>
      </c>
      <c r="E55" s="38">
        <f t="shared" si="0"/>
        <v>800</v>
      </c>
    </row>
    <row r="56" spans="1:5" ht="15" thickBot="1" x14ac:dyDescent="0.35">
      <c r="A56" s="25" t="s">
        <v>12</v>
      </c>
      <c r="B56" s="26" t="s">
        <v>57</v>
      </c>
      <c r="C56" s="27">
        <v>800</v>
      </c>
      <c r="D56" s="26"/>
      <c r="E56" s="38">
        <f t="shared" si="0"/>
        <v>0</v>
      </c>
    </row>
    <row r="57" spans="1:5" ht="15" thickBot="1" x14ac:dyDescent="0.35">
      <c r="A57" s="25" t="s">
        <v>14</v>
      </c>
      <c r="B57" s="26" t="s">
        <v>58</v>
      </c>
      <c r="C57" s="27">
        <v>300</v>
      </c>
      <c r="D57" s="26"/>
      <c r="E57" s="38">
        <f t="shared" si="0"/>
        <v>0</v>
      </c>
    </row>
    <row r="58" spans="1:5" ht="15" thickBot="1" x14ac:dyDescent="0.35">
      <c r="A58" s="25" t="s">
        <v>22</v>
      </c>
      <c r="B58" s="26" t="s">
        <v>59</v>
      </c>
      <c r="C58" s="27">
        <v>300</v>
      </c>
      <c r="D58" s="26"/>
      <c r="E58" s="38">
        <f t="shared" si="0"/>
        <v>0</v>
      </c>
    </row>
    <row r="59" spans="1:5" ht="15" thickBot="1" x14ac:dyDescent="0.35">
      <c r="A59" s="25" t="s">
        <v>24</v>
      </c>
      <c r="B59" s="26" t="s">
        <v>60</v>
      </c>
      <c r="C59" s="29">
        <v>1000</v>
      </c>
      <c r="D59" s="27"/>
      <c r="E59" s="38">
        <f t="shared" si="0"/>
        <v>0</v>
      </c>
    </row>
    <row r="60" spans="1:5" ht="15" thickBot="1" x14ac:dyDescent="0.35">
      <c r="A60" s="25" t="s">
        <v>26</v>
      </c>
      <c r="B60" s="26" t="s">
        <v>61</v>
      </c>
      <c r="C60" s="27">
        <v>300</v>
      </c>
      <c r="D60" s="26"/>
      <c r="E60" s="38">
        <f t="shared" si="0"/>
        <v>0</v>
      </c>
    </row>
    <row r="61" spans="1:5" ht="15" thickBot="1" x14ac:dyDescent="0.35">
      <c r="A61" s="25" t="s">
        <v>28</v>
      </c>
      <c r="B61" s="26" t="s">
        <v>62</v>
      </c>
      <c r="C61" s="27">
        <v>500</v>
      </c>
      <c r="D61" s="26"/>
      <c r="E61" s="38">
        <f t="shared" si="0"/>
        <v>0</v>
      </c>
    </row>
    <row r="62" spans="1:5" ht="15" thickBot="1" x14ac:dyDescent="0.35">
      <c r="A62" s="25" t="s">
        <v>30</v>
      </c>
      <c r="B62" s="26" t="s">
        <v>63</v>
      </c>
      <c r="C62" s="27">
        <v>800</v>
      </c>
      <c r="D62" s="26"/>
      <c r="E62" s="38">
        <f t="shared" si="0"/>
        <v>0</v>
      </c>
    </row>
    <row r="63" spans="1:5" ht="15" thickBot="1" x14ac:dyDescent="0.35">
      <c r="A63" s="25" t="s">
        <v>32</v>
      </c>
      <c r="B63" s="26" t="s">
        <v>64</v>
      </c>
      <c r="C63" s="27">
        <v>800</v>
      </c>
      <c r="D63" s="26"/>
      <c r="E63" s="38">
        <f t="shared" si="0"/>
        <v>0</v>
      </c>
    </row>
    <row r="64" spans="1:5" ht="15" thickBot="1" x14ac:dyDescent="0.35">
      <c r="A64" s="25" t="s">
        <v>34</v>
      </c>
      <c r="B64" s="26" t="s">
        <v>65</v>
      </c>
      <c r="C64" s="27">
        <v>300</v>
      </c>
      <c r="D64" s="26"/>
      <c r="E64" s="38">
        <f t="shared" si="0"/>
        <v>0</v>
      </c>
    </row>
    <row r="65" spans="1:13" ht="15" thickBot="1" x14ac:dyDescent="0.35">
      <c r="A65" s="25" t="s">
        <v>66</v>
      </c>
      <c r="B65" s="26" t="s">
        <v>67</v>
      </c>
      <c r="C65" s="27">
        <v>300</v>
      </c>
      <c r="D65" s="26"/>
      <c r="E65" s="38">
        <f t="shared" si="0"/>
        <v>0</v>
      </c>
    </row>
    <row r="66" spans="1:13" ht="15" thickBot="1" x14ac:dyDescent="0.35">
      <c r="A66" s="25" t="s">
        <v>68</v>
      </c>
      <c r="B66" s="26" t="s">
        <v>69</v>
      </c>
      <c r="C66" s="27">
        <v>900</v>
      </c>
      <c r="D66" s="26">
        <v>1</v>
      </c>
      <c r="E66" s="38">
        <f t="shared" si="0"/>
        <v>900</v>
      </c>
    </row>
    <row r="67" spans="1:13" ht="15" thickBot="1" x14ac:dyDescent="0.35">
      <c r="A67" s="25" t="s">
        <v>70</v>
      </c>
      <c r="B67" s="26" t="s">
        <v>71</v>
      </c>
      <c r="C67" s="27">
        <v>1500</v>
      </c>
      <c r="D67" s="26"/>
      <c r="E67" s="38">
        <f t="shared" si="0"/>
        <v>0</v>
      </c>
    </row>
    <row r="68" spans="1:13" ht="15" thickBot="1" x14ac:dyDescent="0.35">
      <c r="A68" s="25" t="s">
        <v>72</v>
      </c>
      <c r="B68" s="26" t="s">
        <v>73</v>
      </c>
      <c r="C68" s="29">
        <v>1200</v>
      </c>
      <c r="D68" s="26"/>
      <c r="E68" s="38">
        <f t="shared" si="0"/>
        <v>0</v>
      </c>
    </row>
    <row r="69" spans="1:13" ht="15" thickBot="1" x14ac:dyDescent="0.35">
      <c r="A69" s="25" t="s">
        <v>74</v>
      </c>
      <c r="B69" s="26" t="s">
        <v>75</v>
      </c>
      <c r="C69" s="29">
        <v>2500</v>
      </c>
      <c r="D69" s="26">
        <v>1</v>
      </c>
      <c r="E69" s="38">
        <f t="shared" si="0"/>
        <v>2500</v>
      </c>
      <c r="M69"/>
    </row>
    <row r="70" spans="1:13" ht="15" thickBot="1" x14ac:dyDescent="0.35">
      <c r="A70" s="11" t="s">
        <v>79</v>
      </c>
      <c r="B70" s="14" t="s">
        <v>84</v>
      </c>
      <c r="C70" s="12">
        <v>500</v>
      </c>
      <c r="D70">
        <v>3</v>
      </c>
      <c r="E70" s="38">
        <f t="shared" si="0"/>
        <v>1500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8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8">
        <f t="shared" si="0"/>
        <v>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8">
        <f t="shared" si="0"/>
        <v>0</v>
      </c>
      <c r="M73"/>
    </row>
    <row r="74" spans="1:13" ht="15" thickBot="1" x14ac:dyDescent="0.35">
      <c r="A74" s="11" t="s">
        <v>100</v>
      </c>
      <c r="B74" s="14" t="s">
        <v>101</v>
      </c>
      <c r="C74" s="12">
        <v>300</v>
      </c>
      <c r="D74"/>
      <c r="E74" s="38"/>
      <c r="M74"/>
    </row>
    <row r="75" spans="1:13" ht="15" thickBot="1" x14ac:dyDescent="0.35">
      <c r="A75" s="26"/>
      <c r="B75" s="26"/>
      <c r="C75" s="26"/>
      <c r="D75" s="26"/>
      <c r="E75" s="38">
        <f t="shared" si="0"/>
        <v>0</v>
      </c>
      <c r="M75"/>
    </row>
    <row r="76" spans="1:13" ht="15" thickBot="1" x14ac:dyDescent="0.35">
      <c r="A76" s="30">
        <v>7</v>
      </c>
      <c r="B76" s="22" t="s">
        <v>76</v>
      </c>
      <c r="C76" s="23"/>
      <c r="D76" s="23"/>
      <c r="E76" s="38">
        <f t="shared" si="0"/>
        <v>0</v>
      </c>
      <c r="M76"/>
    </row>
    <row r="77" spans="1:13" ht="15" thickBot="1" x14ac:dyDescent="0.35">
      <c r="A77" s="25" t="s">
        <v>6</v>
      </c>
      <c r="B77" s="26" t="s">
        <v>77</v>
      </c>
      <c r="C77" s="26"/>
      <c r="D77" s="26"/>
      <c r="E77" s="38">
        <f t="shared" ref="E77:E78" si="2">C77*D77</f>
        <v>0</v>
      </c>
      <c r="M77"/>
    </row>
    <row r="78" spans="1:13" ht="15" thickBot="1" x14ac:dyDescent="0.35">
      <c r="A78" s="25" t="s">
        <v>8</v>
      </c>
      <c r="B78" s="26" t="s">
        <v>78</v>
      </c>
      <c r="C78" s="27">
        <v>2000</v>
      </c>
      <c r="D78" s="26"/>
      <c r="E78" s="38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3"/>
        <v>0</v>
      </c>
    </row>
    <row r="83" spans="1:5" x14ac:dyDescent="0.3">
      <c r="B83" t="s">
        <v>80</v>
      </c>
      <c r="E83" s="13">
        <f>SUM(E2:E79)</f>
        <v>48850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83"/>
  <sheetViews>
    <sheetView topLeftCell="A34" zoomScale="80" zoomScaleNormal="55" workbookViewId="0">
      <selection activeCell="C50" sqref="C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6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  <c r="M1"/>
    </row>
    <row r="2" spans="1:16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  <c r="M2"/>
      <c r="N2" s="50"/>
      <c r="P2" s="50"/>
    </row>
    <row r="3" spans="1:16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1"/>
      <c r="M3"/>
      <c r="P3" s="50"/>
    </row>
    <row r="4" spans="1:16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/>
      <c r="P4" s="50"/>
    </row>
    <row r="5" spans="1:16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  <c r="M5"/>
      <c r="O5" s="50"/>
      <c r="P5" s="50"/>
    </row>
    <row r="6" spans="1:16" x14ac:dyDescent="0.3">
      <c r="A6" s="11" t="s">
        <v>12</v>
      </c>
      <c r="B6" t="s">
        <v>13</v>
      </c>
      <c r="C6" s="12">
        <v>1000</v>
      </c>
      <c r="D6">
        <v>1</v>
      </c>
      <c r="E6" s="13">
        <f>D6*C6</f>
        <v>1000</v>
      </c>
      <c r="M6"/>
      <c r="N6" s="50"/>
      <c r="P6" s="50"/>
    </row>
    <row r="7" spans="1:16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/>
      <c r="P7" s="50"/>
    </row>
    <row r="8" spans="1:16" x14ac:dyDescent="0.3">
      <c r="A8" s="11" t="s">
        <v>22</v>
      </c>
      <c r="B8" t="s">
        <v>63</v>
      </c>
      <c r="C8" s="12">
        <v>1000</v>
      </c>
      <c r="D8">
        <v>1</v>
      </c>
      <c r="E8" s="13">
        <f>D8*C8</f>
        <v>1000</v>
      </c>
      <c r="M8"/>
      <c r="P8" s="50"/>
    </row>
    <row r="9" spans="1:16" x14ac:dyDescent="0.3">
      <c r="A9" s="11"/>
      <c r="C9" s="12"/>
      <c r="D9"/>
      <c r="E9" s="13">
        <f t="shared" si="0"/>
        <v>0</v>
      </c>
      <c r="M9"/>
    </row>
    <row r="10" spans="1:16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/>
    </row>
    <row r="11" spans="1:16" x14ac:dyDescent="0.3">
      <c r="A11" s="11" t="s">
        <v>6</v>
      </c>
      <c r="B11" t="s">
        <v>17</v>
      </c>
      <c r="C11" s="12">
        <v>600</v>
      </c>
      <c r="D11">
        <v>1</v>
      </c>
      <c r="E11" s="13">
        <f>D11*C11</f>
        <v>600</v>
      </c>
      <c r="M11"/>
      <c r="P11" s="50"/>
    </row>
    <row r="12" spans="1:16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1"/>
      <c r="M12"/>
    </row>
    <row r="13" spans="1:16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/>
    </row>
    <row r="14" spans="1:16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/>
      <c r="P14" s="50"/>
    </row>
    <row r="15" spans="1:16" x14ac:dyDescent="0.3">
      <c r="A15" s="11" t="s">
        <v>14</v>
      </c>
      <c r="B15" t="s">
        <v>21</v>
      </c>
      <c r="C15" s="12">
        <v>1500</v>
      </c>
      <c r="D15">
        <v>3</v>
      </c>
      <c r="E15" s="13">
        <f t="shared" si="0"/>
        <v>4500</v>
      </c>
      <c r="M15"/>
    </row>
    <row r="16" spans="1:16" x14ac:dyDescent="0.3">
      <c r="A16" s="11" t="s">
        <v>22</v>
      </c>
      <c r="B16" t="s">
        <v>23</v>
      </c>
      <c r="C16" s="12">
        <v>500</v>
      </c>
      <c r="D16">
        <v>3</v>
      </c>
      <c r="E16" s="13">
        <f t="shared" si="0"/>
        <v>1500</v>
      </c>
      <c r="M16"/>
    </row>
    <row r="17" spans="1:16" x14ac:dyDescent="0.3">
      <c r="A17" s="11" t="s">
        <v>24</v>
      </c>
      <c r="B17" t="s">
        <v>25</v>
      </c>
      <c r="C17" s="12">
        <v>400</v>
      </c>
      <c r="D17">
        <v>3</v>
      </c>
      <c r="E17" s="13">
        <f t="shared" si="0"/>
        <v>1200</v>
      </c>
      <c r="J17" s="31"/>
      <c r="M17"/>
    </row>
    <row r="18" spans="1:16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  <c r="N18" s="50"/>
      <c r="P18" s="50"/>
    </row>
    <row r="19" spans="1:16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  <c r="M19"/>
      <c r="P19" s="50"/>
    </row>
    <row r="20" spans="1:16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/>
      <c r="P20" s="50"/>
    </row>
    <row r="21" spans="1:16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  <c r="M21"/>
    </row>
    <row r="22" spans="1:16" x14ac:dyDescent="0.3">
      <c r="A22" s="11" t="s">
        <v>34</v>
      </c>
      <c r="B22" t="s">
        <v>35</v>
      </c>
      <c r="C22" s="12">
        <v>500</v>
      </c>
      <c r="D22">
        <v>1</v>
      </c>
      <c r="E22" s="13">
        <f t="shared" si="0"/>
        <v>500</v>
      </c>
      <c r="M22"/>
      <c r="P22" s="50"/>
    </row>
    <row r="23" spans="1:16" x14ac:dyDescent="0.3">
      <c r="A23" s="11" t="s">
        <v>66</v>
      </c>
      <c r="B23" t="s">
        <v>91</v>
      </c>
      <c r="C23" s="12">
        <v>400</v>
      </c>
      <c r="D23">
        <v>1</v>
      </c>
      <c r="E23" s="13">
        <f t="shared" si="0"/>
        <v>400</v>
      </c>
      <c r="M23"/>
    </row>
    <row r="24" spans="1:16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  <c r="M24"/>
      <c r="N24" s="50"/>
      <c r="P24" s="50"/>
    </row>
    <row r="25" spans="1:16" x14ac:dyDescent="0.3">
      <c r="A25" s="11" t="s">
        <v>70</v>
      </c>
      <c r="B25" t="s">
        <v>94</v>
      </c>
      <c r="C25" s="12">
        <f>1900/3</f>
        <v>633.33333333333337</v>
      </c>
      <c r="D25">
        <v>3</v>
      </c>
      <c r="E25" s="13">
        <f t="shared" si="0"/>
        <v>1900</v>
      </c>
      <c r="M25"/>
      <c r="N25" s="50"/>
      <c r="P25" s="50"/>
    </row>
    <row r="26" spans="1:16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/>
      <c r="N26" s="50"/>
      <c r="P26" s="50"/>
    </row>
    <row r="27" spans="1:16" x14ac:dyDescent="0.3">
      <c r="A27" s="11"/>
      <c r="C27" s="12"/>
      <c r="D27"/>
      <c r="E27" s="13">
        <f t="shared" si="0"/>
        <v>0</v>
      </c>
      <c r="M27"/>
      <c r="N27" s="50"/>
      <c r="P27" s="50"/>
    </row>
    <row r="28" spans="1:16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L28" s="51"/>
      <c r="M28"/>
    </row>
    <row r="29" spans="1:16" x14ac:dyDescent="0.3">
      <c r="A29" s="11" t="s">
        <v>6</v>
      </c>
      <c r="B29" t="s">
        <v>37</v>
      </c>
      <c r="C29" s="12">
        <v>100</v>
      </c>
      <c r="D29">
        <v>249</v>
      </c>
      <c r="E29" s="13">
        <f t="shared" si="0"/>
        <v>24900</v>
      </c>
      <c r="M29"/>
      <c r="N29" s="50"/>
      <c r="P29" s="50"/>
    </row>
    <row r="30" spans="1:16" x14ac:dyDescent="0.3">
      <c r="A30" s="11" t="s">
        <v>8</v>
      </c>
      <c r="B30" t="s">
        <v>38</v>
      </c>
      <c r="C30" s="12">
        <v>200</v>
      </c>
      <c r="D30">
        <v>25.5</v>
      </c>
      <c r="E30" s="13">
        <f t="shared" si="0"/>
        <v>5100</v>
      </c>
    </row>
    <row r="31" spans="1:16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6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1"/>
    </row>
    <row r="35" spans="1:10" x14ac:dyDescent="0.3">
      <c r="A35" s="11" t="s">
        <v>24</v>
      </c>
      <c r="B35" t="s">
        <v>83</v>
      </c>
      <c r="C35" s="12">
        <v>4000</v>
      </c>
      <c r="D35">
        <v>1</v>
      </c>
      <c r="E35" s="13">
        <f t="shared" si="0"/>
        <v>4000</v>
      </c>
      <c r="J35" s="31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600</v>
      </c>
      <c r="D39">
        <v>2</v>
      </c>
      <c r="E39" s="13">
        <f t="shared" si="0"/>
        <v>1200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>
        <v>1</v>
      </c>
      <c r="E42" s="13">
        <f t="shared" si="0"/>
        <v>1000</v>
      </c>
    </row>
    <row r="43" spans="1:10" x14ac:dyDescent="0.3">
      <c r="A43" s="11" t="s">
        <v>8</v>
      </c>
      <c r="B43" t="s">
        <v>46</v>
      </c>
      <c r="C43" s="12">
        <v>2050</v>
      </c>
      <c r="D43">
        <v>1</v>
      </c>
      <c r="E43" s="13">
        <f t="shared" si="0"/>
        <v>2050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8</v>
      </c>
      <c r="E49" s="13">
        <f t="shared" si="1"/>
        <v>800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16400</v>
      </c>
      <c r="D53">
        <v>1</v>
      </c>
      <c r="E53" s="13">
        <f t="shared" si="1"/>
        <v>16400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400</v>
      </c>
      <c r="D60">
        <v>2</v>
      </c>
      <c r="E60" s="13">
        <f t="shared" si="1"/>
        <v>800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2</v>
      </c>
      <c r="E62" s="13">
        <f t="shared" si="1"/>
        <v>1600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2500</v>
      </c>
      <c r="D69">
        <v>1</v>
      </c>
      <c r="E69" s="13">
        <f t="shared" si="1"/>
        <v>2500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/>
    </row>
    <row r="71" spans="1:13" x14ac:dyDescent="0.3">
      <c r="A71" s="11" t="s">
        <v>85</v>
      </c>
      <c r="B71" s="14" t="s">
        <v>86</v>
      </c>
      <c r="C71" s="12">
        <v>400</v>
      </c>
      <c r="D71">
        <v>1</v>
      </c>
      <c r="E71" s="13">
        <f t="shared" si="1"/>
        <v>400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1"/>
        <v>0</v>
      </c>
      <c r="M73"/>
    </row>
    <row r="74" spans="1:13" x14ac:dyDescent="0.3">
      <c r="A74" s="11" t="s">
        <v>100</v>
      </c>
      <c r="B74" s="14" t="s">
        <v>101</v>
      </c>
      <c r="C74" s="12">
        <v>300</v>
      </c>
      <c r="D74"/>
      <c r="M74"/>
    </row>
    <row r="75" spans="1:13" x14ac:dyDescent="0.3">
      <c r="C75" s="12"/>
      <c r="D75"/>
      <c r="E75" s="13">
        <f t="shared" si="1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13" x14ac:dyDescent="0.3">
      <c r="B83" t="s">
        <v>80</v>
      </c>
      <c r="E83" s="13">
        <f>SUM(E2:E79)</f>
        <v>76650</v>
      </c>
      <c r="M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83"/>
  <sheetViews>
    <sheetView topLeftCell="A27" zoomScale="8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4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  <c r="M1"/>
    </row>
    <row r="2" spans="1:14" x14ac:dyDescent="0.3">
      <c r="A2" s="6">
        <v>1</v>
      </c>
      <c r="B2" s="7" t="s">
        <v>5</v>
      </c>
      <c r="C2" s="8"/>
      <c r="D2" s="9"/>
      <c r="E2" s="10">
        <f>C2*D2</f>
        <v>0</v>
      </c>
      <c r="M2"/>
      <c r="N2" s="50"/>
    </row>
    <row r="3" spans="1:14" x14ac:dyDescent="0.3">
      <c r="A3" s="11" t="s">
        <v>6</v>
      </c>
      <c r="B3" t="s">
        <v>7</v>
      </c>
      <c r="C3" s="12">
        <v>700</v>
      </c>
      <c r="D3">
        <v>4</v>
      </c>
      <c r="E3" s="13">
        <f t="shared" ref="E3:E43" si="0">D3*C3</f>
        <v>2800</v>
      </c>
      <c r="M3"/>
      <c r="N3" s="50"/>
    </row>
    <row r="4" spans="1:14" x14ac:dyDescent="0.3">
      <c r="A4" s="11" t="s">
        <v>8</v>
      </c>
      <c r="B4" t="s">
        <v>9</v>
      </c>
      <c r="C4" s="12">
        <v>700</v>
      </c>
      <c r="D4">
        <v>7</v>
      </c>
      <c r="E4" s="13">
        <f t="shared" si="0"/>
        <v>4900</v>
      </c>
      <c r="J4" s="51"/>
      <c r="M4"/>
      <c r="N4" s="50"/>
    </row>
    <row r="5" spans="1:14" x14ac:dyDescent="0.3">
      <c r="A5" s="11" t="s">
        <v>10</v>
      </c>
      <c r="B5" t="s">
        <v>11</v>
      </c>
      <c r="C5" s="12">
        <f>8800/10</f>
        <v>880</v>
      </c>
      <c r="D5">
        <v>10</v>
      </c>
      <c r="E5" s="13">
        <f t="shared" si="0"/>
        <v>8800</v>
      </c>
      <c r="M5"/>
      <c r="N5" s="50"/>
    </row>
    <row r="6" spans="1:14" x14ac:dyDescent="0.3">
      <c r="A6" s="11" t="s">
        <v>12</v>
      </c>
      <c r="B6" t="s">
        <v>13</v>
      </c>
      <c r="C6" s="12">
        <v>1000</v>
      </c>
      <c r="D6">
        <v>4</v>
      </c>
      <c r="E6" s="13">
        <f>D6*C6</f>
        <v>4000</v>
      </c>
      <c r="M6"/>
      <c r="N6" s="50"/>
    </row>
    <row r="7" spans="1:14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J7" s="51"/>
      <c r="M7"/>
      <c r="N7" s="50"/>
    </row>
    <row r="8" spans="1:14" x14ac:dyDescent="0.3">
      <c r="A8" s="11" t="s">
        <v>22</v>
      </c>
      <c r="B8" t="s">
        <v>63</v>
      </c>
      <c r="C8" s="12">
        <v>1000</v>
      </c>
      <c r="D8"/>
      <c r="J8" s="51"/>
      <c r="M8"/>
      <c r="N8" s="50"/>
    </row>
    <row r="9" spans="1:14" x14ac:dyDescent="0.3">
      <c r="A9" s="11"/>
      <c r="C9" s="12"/>
      <c r="D9"/>
      <c r="E9" s="13">
        <f t="shared" si="0"/>
        <v>0</v>
      </c>
      <c r="M9"/>
      <c r="N9" s="50"/>
    </row>
    <row r="10" spans="1:14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L10" s="50"/>
      <c r="M10"/>
      <c r="N10" s="50"/>
    </row>
    <row r="11" spans="1:14" x14ac:dyDescent="0.3">
      <c r="A11" s="11" t="s">
        <v>6</v>
      </c>
      <c r="B11" t="s">
        <v>17</v>
      </c>
      <c r="C11" s="12">
        <v>627.27272727272725</v>
      </c>
      <c r="D11">
        <v>11</v>
      </c>
      <c r="E11" s="13">
        <f>D11*C11</f>
        <v>6900</v>
      </c>
      <c r="M11"/>
      <c r="N11" s="50"/>
    </row>
    <row r="12" spans="1:14" x14ac:dyDescent="0.3">
      <c r="A12" s="11" t="s">
        <v>8</v>
      </c>
      <c r="B12" t="s">
        <v>18</v>
      </c>
      <c r="C12" s="12">
        <v>400</v>
      </c>
      <c r="D12">
        <v>1</v>
      </c>
      <c r="E12" s="13">
        <f>D12*C12</f>
        <v>400</v>
      </c>
      <c r="M12"/>
      <c r="N12" s="50"/>
    </row>
    <row r="13" spans="1:14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/>
      <c r="N13" s="50"/>
    </row>
    <row r="14" spans="1:14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/>
      <c r="N14" s="50"/>
    </row>
    <row r="15" spans="1:14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50"/>
      <c r="N15" s="50"/>
    </row>
    <row r="16" spans="1:14" x14ac:dyDescent="0.3">
      <c r="A16" s="11" t="s">
        <v>22</v>
      </c>
      <c r="B16" t="s">
        <v>23</v>
      </c>
      <c r="C16" s="12">
        <v>500</v>
      </c>
      <c r="D16">
        <v>9</v>
      </c>
      <c r="E16" s="13">
        <f t="shared" si="0"/>
        <v>4500</v>
      </c>
      <c r="M16"/>
      <c r="N16" s="50"/>
    </row>
    <row r="17" spans="1:14" x14ac:dyDescent="0.3">
      <c r="A17" s="11" t="s">
        <v>24</v>
      </c>
      <c r="B17" t="s">
        <v>25</v>
      </c>
      <c r="C17" s="12">
        <v>400</v>
      </c>
      <c r="D17">
        <v>4</v>
      </c>
      <c r="E17" s="13">
        <f t="shared" si="0"/>
        <v>1600</v>
      </c>
      <c r="M17"/>
    </row>
    <row r="18" spans="1:14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  <c r="N18" s="50"/>
    </row>
    <row r="19" spans="1:14" x14ac:dyDescent="0.3">
      <c r="A19" s="11" t="s">
        <v>28</v>
      </c>
      <c r="B19" t="s">
        <v>29</v>
      </c>
      <c r="C19" s="12">
        <v>400</v>
      </c>
      <c r="D19">
        <v>1</v>
      </c>
      <c r="E19" s="13">
        <f t="shared" si="0"/>
        <v>400</v>
      </c>
      <c r="M19"/>
      <c r="N19" s="50"/>
    </row>
    <row r="20" spans="1:14" x14ac:dyDescent="0.3">
      <c r="A20" s="11" t="s">
        <v>30</v>
      </c>
      <c r="B20" t="s">
        <v>31</v>
      </c>
      <c r="C20" s="12">
        <v>500</v>
      </c>
      <c r="D20">
        <v>10</v>
      </c>
      <c r="E20" s="13">
        <f t="shared" si="0"/>
        <v>5000</v>
      </c>
      <c r="M20"/>
      <c r="N20" s="50"/>
    </row>
    <row r="21" spans="1:14" x14ac:dyDescent="0.3">
      <c r="A21" s="11" t="s">
        <v>32</v>
      </c>
      <c r="B21" t="s">
        <v>33</v>
      </c>
      <c r="C21" s="12">
        <v>200</v>
      </c>
      <c r="D21">
        <v>15</v>
      </c>
      <c r="E21" s="13">
        <f t="shared" si="0"/>
        <v>3000</v>
      </c>
      <c r="J21" s="51"/>
      <c r="M21"/>
    </row>
    <row r="22" spans="1:14" x14ac:dyDescent="0.3">
      <c r="A22" s="11" t="s">
        <v>34</v>
      </c>
      <c r="B22" t="s">
        <v>35</v>
      </c>
      <c r="C22" s="12">
        <f>4500/10</f>
        <v>450</v>
      </c>
      <c r="D22">
        <v>10</v>
      </c>
      <c r="E22" s="13">
        <f t="shared" si="0"/>
        <v>4500</v>
      </c>
      <c r="M22"/>
      <c r="N22" s="50"/>
    </row>
    <row r="23" spans="1:14" x14ac:dyDescent="0.3">
      <c r="A23" s="11" t="s">
        <v>66</v>
      </c>
      <c r="B23" t="s">
        <v>91</v>
      </c>
      <c r="C23" s="12">
        <v>300</v>
      </c>
      <c r="D23">
        <v>2</v>
      </c>
      <c r="E23" s="13">
        <f t="shared" si="0"/>
        <v>600</v>
      </c>
      <c r="M23"/>
    </row>
    <row r="24" spans="1:14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M24"/>
      <c r="N24" s="50"/>
    </row>
    <row r="25" spans="1:14" x14ac:dyDescent="0.3">
      <c r="A25" s="11" t="s">
        <v>70</v>
      </c>
      <c r="B25" t="s">
        <v>94</v>
      </c>
      <c r="C25" s="12">
        <f>2600/4</f>
        <v>650</v>
      </c>
      <c r="D25">
        <v>4</v>
      </c>
      <c r="E25" s="13">
        <f t="shared" si="0"/>
        <v>2600</v>
      </c>
      <c r="M25"/>
      <c r="N25" s="50"/>
    </row>
    <row r="26" spans="1:14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 s="50"/>
      <c r="N26" s="50"/>
    </row>
    <row r="27" spans="1:14" x14ac:dyDescent="0.3">
      <c r="A27" s="11"/>
      <c r="C27" s="12"/>
      <c r="D27"/>
      <c r="E27" s="13">
        <f t="shared" si="0"/>
        <v>0</v>
      </c>
      <c r="M27"/>
    </row>
    <row r="28" spans="1:14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L28" s="50"/>
      <c r="M28"/>
      <c r="N28" s="50"/>
    </row>
    <row r="29" spans="1:14" x14ac:dyDescent="0.3">
      <c r="A29" s="11" t="s">
        <v>6</v>
      </c>
      <c r="B29" t="s">
        <v>37</v>
      </c>
      <c r="C29" s="12">
        <v>100</v>
      </c>
      <c r="D29">
        <v>227</v>
      </c>
      <c r="E29" s="13">
        <f t="shared" si="0"/>
        <v>22700</v>
      </c>
      <c r="M29"/>
      <c r="N29" s="50"/>
    </row>
    <row r="30" spans="1:14" x14ac:dyDescent="0.3">
      <c r="A30" s="11" t="s">
        <v>8</v>
      </c>
      <c r="B30" t="s">
        <v>38</v>
      </c>
      <c r="C30" s="12">
        <v>200</v>
      </c>
      <c r="D30">
        <v>55.5</v>
      </c>
      <c r="E30" s="13">
        <f t="shared" si="0"/>
        <v>11100</v>
      </c>
      <c r="M30"/>
      <c r="N30" s="50"/>
    </row>
    <row r="31" spans="1:14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/>
    </row>
    <row r="32" spans="1:14" x14ac:dyDescent="0.3">
      <c r="A32" s="11" t="s">
        <v>12</v>
      </c>
      <c r="B32" t="s">
        <v>40</v>
      </c>
      <c r="C32" s="12"/>
      <c r="D32"/>
      <c r="E32" s="13">
        <f t="shared" si="0"/>
        <v>0</v>
      </c>
      <c r="L32" s="50"/>
      <c r="M32"/>
      <c r="N32" s="50"/>
    </row>
    <row r="33" spans="1:14" x14ac:dyDescent="0.3">
      <c r="A33" s="11" t="s">
        <v>14</v>
      </c>
      <c r="B33" t="s">
        <v>41</v>
      </c>
      <c r="C33" s="12">
        <v>5000</v>
      </c>
      <c r="D33">
        <v>1</v>
      </c>
      <c r="E33" s="13">
        <f t="shared" si="0"/>
        <v>5000</v>
      </c>
      <c r="M33"/>
    </row>
    <row r="34" spans="1:14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L34" s="50"/>
      <c r="M34"/>
      <c r="N34" s="50"/>
    </row>
    <row r="35" spans="1:14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M35"/>
    </row>
    <row r="36" spans="1:14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4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4" x14ac:dyDescent="0.3">
      <c r="A38" s="11" t="s">
        <v>30</v>
      </c>
      <c r="B38" t="s">
        <v>90</v>
      </c>
      <c r="C38" s="12">
        <v>5000</v>
      </c>
      <c r="D38">
        <v>1</v>
      </c>
      <c r="E38" s="13">
        <f t="shared" si="0"/>
        <v>5000</v>
      </c>
    </row>
    <row r="39" spans="1:14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4" x14ac:dyDescent="0.3">
      <c r="C40" s="12"/>
      <c r="D40"/>
      <c r="E40" s="13">
        <f t="shared" si="0"/>
        <v>0</v>
      </c>
    </row>
    <row r="41" spans="1:14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4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4" x14ac:dyDescent="0.3">
      <c r="A43" s="11" t="s">
        <v>8</v>
      </c>
      <c r="B43" t="s">
        <v>46</v>
      </c>
      <c r="C43" s="12">
        <f>2100/4</f>
        <v>525</v>
      </c>
      <c r="D43">
        <v>4</v>
      </c>
      <c r="E43" s="13">
        <f t="shared" si="0"/>
        <v>2100</v>
      </c>
    </row>
    <row r="44" spans="1:14" x14ac:dyDescent="0.3">
      <c r="A44" s="11" t="s">
        <v>10</v>
      </c>
      <c r="B44" t="s">
        <v>47</v>
      </c>
      <c r="C44" s="12"/>
      <c r="E44" s="13">
        <f>D45*C44</f>
        <v>0</v>
      </c>
    </row>
    <row r="45" spans="1:14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4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4" x14ac:dyDescent="0.3">
      <c r="C47" s="12"/>
      <c r="D47"/>
      <c r="E47" s="13">
        <f t="shared" si="1"/>
        <v>0</v>
      </c>
    </row>
    <row r="48" spans="1:14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17</v>
      </c>
      <c r="E49" s="13">
        <f t="shared" si="1"/>
        <v>1700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18000</v>
      </c>
      <c r="D53">
        <v>1</v>
      </c>
      <c r="E53" s="13">
        <f t="shared" si="1"/>
        <v>18000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400</v>
      </c>
      <c r="D60">
        <v>1</v>
      </c>
      <c r="E60" s="13">
        <f t="shared" si="1"/>
        <v>400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13</v>
      </c>
      <c r="E62" s="13">
        <f t="shared" si="1"/>
        <v>10400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400</v>
      </c>
      <c r="D65">
        <v>4</v>
      </c>
      <c r="E65" s="13">
        <f t="shared" si="1"/>
        <v>1600</v>
      </c>
    </row>
    <row r="66" spans="1:5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f>4000/3</f>
        <v>1333.3333333333333</v>
      </c>
      <c r="D67">
        <v>3</v>
      </c>
      <c r="E67" s="13">
        <f t="shared" si="1"/>
        <v>4000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>
        <v>2</v>
      </c>
      <c r="E70" s="13">
        <f t="shared" si="1"/>
        <v>1000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A74" s="11" t="s">
        <v>100</v>
      </c>
      <c r="B74" s="14" t="s">
        <v>101</v>
      </c>
      <c r="C74" s="12">
        <v>300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133500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83"/>
  <sheetViews>
    <sheetView topLeftCell="A33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4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  <c r="M1"/>
    </row>
    <row r="2" spans="1:14" x14ac:dyDescent="0.3">
      <c r="A2" s="6">
        <v>1</v>
      </c>
      <c r="B2" s="7" t="s">
        <v>5</v>
      </c>
      <c r="C2" s="8"/>
      <c r="D2" s="9"/>
      <c r="E2" s="10">
        <f>C2*D2</f>
        <v>0</v>
      </c>
      <c r="M2"/>
      <c r="N2" s="50"/>
    </row>
    <row r="3" spans="1:14" x14ac:dyDescent="0.3">
      <c r="A3" s="11" t="s">
        <v>6</v>
      </c>
      <c r="B3" t="s">
        <v>7</v>
      </c>
      <c r="C3" s="12">
        <f>5300/8</f>
        <v>662.5</v>
      </c>
      <c r="D3">
        <v>8</v>
      </c>
      <c r="E3" s="13">
        <f t="shared" ref="E3:E43" si="0">D3*C3</f>
        <v>5300</v>
      </c>
      <c r="M3"/>
      <c r="N3" s="50"/>
    </row>
    <row r="4" spans="1:14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/>
      <c r="N4" s="50"/>
    </row>
    <row r="5" spans="1:14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/>
      <c r="N5" s="50"/>
    </row>
    <row r="6" spans="1:14" x14ac:dyDescent="0.3">
      <c r="A6" s="11" t="s">
        <v>12</v>
      </c>
      <c r="B6" t="s">
        <v>13</v>
      </c>
      <c r="C6" s="12">
        <v>1000</v>
      </c>
      <c r="D6">
        <v>3</v>
      </c>
      <c r="E6" s="13">
        <f>D6*C6</f>
        <v>3000</v>
      </c>
      <c r="M6"/>
      <c r="N6" s="50"/>
    </row>
    <row r="7" spans="1:14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/>
      <c r="N7" s="50"/>
    </row>
    <row r="8" spans="1:14" x14ac:dyDescent="0.3">
      <c r="A8" s="11" t="s">
        <v>22</v>
      </c>
      <c r="B8" t="s">
        <v>63</v>
      </c>
      <c r="C8" s="12">
        <v>1000</v>
      </c>
      <c r="D8"/>
      <c r="M8"/>
      <c r="N8" s="50"/>
    </row>
    <row r="9" spans="1:14" x14ac:dyDescent="0.3">
      <c r="A9" s="11"/>
      <c r="C9" s="12"/>
      <c r="D9"/>
      <c r="E9" s="13">
        <f t="shared" si="0"/>
        <v>0</v>
      </c>
      <c r="M9"/>
      <c r="N9" s="50"/>
    </row>
    <row r="10" spans="1:14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/>
      <c r="N10" s="50"/>
    </row>
    <row r="11" spans="1:14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  <c r="M11"/>
    </row>
    <row r="12" spans="1:14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51"/>
      <c r="M12"/>
      <c r="N12" s="50"/>
    </row>
    <row r="13" spans="1:14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/>
    </row>
    <row r="14" spans="1:14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L14" s="50"/>
      <c r="M14"/>
      <c r="N14" s="50"/>
    </row>
    <row r="15" spans="1:14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  <c r="M15"/>
      <c r="N15" s="50"/>
    </row>
    <row r="16" spans="1:14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/>
      <c r="N16" s="50"/>
    </row>
    <row r="17" spans="1:14" x14ac:dyDescent="0.3">
      <c r="A17" s="11" t="s">
        <v>24</v>
      </c>
      <c r="B17" t="s">
        <v>25</v>
      </c>
      <c r="C17" s="12">
        <v>400</v>
      </c>
      <c r="D17">
        <v>3</v>
      </c>
      <c r="E17" s="13">
        <f t="shared" si="0"/>
        <v>1200</v>
      </c>
      <c r="L17" s="50"/>
      <c r="M17"/>
      <c r="N17" s="50"/>
    </row>
    <row r="18" spans="1:14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  <c r="N18" s="50"/>
    </row>
    <row r="19" spans="1:14" x14ac:dyDescent="0.3">
      <c r="A19" s="11" t="s">
        <v>28</v>
      </c>
      <c r="B19" t="s">
        <v>29</v>
      </c>
      <c r="C19" s="12">
        <v>400</v>
      </c>
      <c r="D19">
        <v>3</v>
      </c>
      <c r="E19" s="13">
        <f t="shared" si="0"/>
        <v>1200</v>
      </c>
      <c r="M19"/>
    </row>
    <row r="20" spans="1:14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/>
    </row>
    <row r="21" spans="1:14" x14ac:dyDescent="0.3">
      <c r="A21" s="11" t="s">
        <v>32</v>
      </c>
      <c r="B21" t="s">
        <v>33</v>
      </c>
      <c r="C21" s="12">
        <v>200</v>
      </c>
      <c r="D21">
        <v>9</v>
      </c>
      <c r="E21" s="13">
        <f t="shared" si="0"/>
        <v>1800</v>
      </c>
      <c r="M21" s="50"/>
      <c r="N21" s="50"/>
    </row>
    <row r="22" spans="1:14" x14ac:dyDescent="0.3">
      <c r="A22" s="11" t="s">
        <v>34</v>
      </c>
      <c r="B22" t="s">
        <v>35</v>
      </c>
      <c r="C22" s="12">
        <f>3500/8</f>
        <v>437.5</v>
      </c>
      <c r="D22">
        <v>8</v>
      </c>
      <c r="E22" s="13">
        <f t="shared" si="0"/>
        <v>3500</v>
      </c>
      <c r="M22"/>
      <c r="N22" s="50"/>
    </row>
    <row r="23" spans="1:14" x14ac:dyDescent="0.3">
      <c r="A23" s="11" t="s">
        <v>66</v>
      </c>
      <c r="B23" t="s">
        <v>91</v>
      </c>
      <c r="C23" s="12">
        <v>300</v>
      </c>
      <c r="D23">
        <v>1</v>
      </c>
      <c r="E23" s="13">
        <f t="shared" si="0"/>
        <v>300</v>
      </c>
      <c r="M23"/>
    </row>
    <row r="24" spans="1:14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L24" s="50"/>
      <c r="M24"/>
      <c r="N24" s="50"/>
    </row>
    <row r="25" spans="1:14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  <c r="L25" s="50"/>
      <c r="M25"/>
      <c r="N25" s="50"/>
    </row>
    <row r="26" spans="1:14" x14ac:dyDescent="0.3">
      <c r="A26" s="11" t="s">
        <v>72</v>
      </c>
      <c r="B26" t="s">
        <v>93</v>
      </c>
      <c r="C26" s="12">
        <v>400</v>
      </c>
      <c r="D26"/>
      <c r="J26" s="51"/>
      <c r="L26" s="50"/>
      <c r="M26"/>
      <c r="N26" s="50"/>
    </row>
    <row r="27" spans="1:14" x14ac:dyDescent="0.3">
      <c r="A27" s="11"/>
      <c r="C27" s="12"/>
      <c r="D27"/>
      <c r="E27" s="13">
        <f t="shared" si="0"/>
        <v>0</v>
      </c>
      <c r="L27" s="50"/>
      <c r="M27"/>
      <c r="N27" s="50"/>
    </row>
    <row r="28" spans="1:14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L28" s="50"/>
      <c r="M28"/>
      <c r="N28" s="50"/>
    </row>
    <row r="29" spans="1:14" x14ac:dyDescent="0.3">
      <c r="A29" s="11" t="s">
        <v>6</v>
      </c>
      <c r="B29" t="s">
        <v>37</v>
      </c>
      <c r="C29" s="12">
        <v>100</v>
      </c>
      <c r="D29">
        <v>185</v>
      </c>
      <c r="E29" s="13">
        <f t="shared" si="0"/>
        <v>18500</v>
      </c>
      <c r="L29" s="50"/>
      <c r="M29"/>
      <c r="N29" s="50"/>
    </row>
    <row r="30" spans="1:14" x14ac:dyDescent="0.3">
      <c r="A30" s="11" t="s">
        <v>8</v>
      </c>
      <c r="B30" t="s">
        <v>38</v>
      </c>
      <c r="C30" s="12">
        <v>200</v>
      </c>
      <c r="D30">
        <v>45</v>
      </c>
      <c r="E30" s="13">
        <f t="shared" si="0"/>
        <v>9000</v>
      </c>
      <c r="M30" s="32"/>
    </row>
    <row r="31" spans="1:14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2"/>
    </row>
    <row r="32" spans="1:14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2"/>
    </row>
    <row r="33" spans="1:13" x14ac:dyDescent="0.3">
      <c r="A33" s="11" t="s">
        <v>14</v>
      </c>
      <c r="B33" t="s">
        <v>41</v>
      </c>
      <c r="C33" s="12">
        <v>10000</v>
      </c>
      <c r="D33">
        <v>1</v>
      </c>
      <c r="E33" s="13">
        <f t="shared" si="0"/>
        <v>10000</v>
      </c>
      <c r="M33" s="32"/>
    </row>
    <row r="34" spans="1:13" x14ac:dyDescent="0.3">
      <c r="A34" s="11" t="s">
        <v>22</v>
      </c>
      <c r="B34" t="s">
        <v>42</v>
      </c>
      <c r="C34" s="12">
        <v>500</v>
      </c>
      <c r="D34">
        <v>3</v>
      </c>
      <c r="E34" s="13">
        <f t="shared" si="0"/>
        <v>1500</v>
      </c>
      <c r="J34" s="31"/>
      <c r="M34" s="32"/>
    </row>
    <row r="35" spans="1:13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31"/>
      <c r="M35" s="32"/>
    </row>
    <row r="36" spans="1:13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  <c r="M36" s="32"/>
    </row>
    <row r="37" spans="1:13" x14ac:dyDescent="0.3">
      <c r="A37" s="11" t="s">
        <v>28</v>
      </c>
      <c r="B37" t="s">
        <v>89</v>
      </c>
      <c r="C37" s="12">
        <v>1200</v>
      </c>
      <c r="D37">
        <v>1</v>
      </c>
      <c r="E37" s="13">
        <f t="shared" si="0"/>
        <v>1200</v>
      </c>
    </row>
    <row r="38" spans="1:13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3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3" x14ac:dyDescent="0.3">
      <c r="C40" s="12"/>
      <c r="D40"/>
      <c r="E40" s="13">
        <f t="shared" si="0"/>
        <v>0</v>
      </c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3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3" x14ac:dyDescent="0.3">
      <c r="A43" s="11" t="s">
        <v>8</v>
      </c>
      <c r="B43" t="s">
        <v>46</v>
      </c>
      <c r="C43" s="12">
        <v>1000</v>
      </c>
      <c r="D43">
        <v>1</v>
      </c>
      <c r="E43" s="13">
        <f t="shared" si="0"/>
        <v>1000</v>
      </c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3" x14ac:dyDescent="0.3">
      <c r="C47" s="12"/>
      <c r="D47"/>
      <c r="E47" s="13">
        <f t="shared" si="1"/>
        <v>0</v>
      </c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19</v>
      </c>
      <c r="E49" s="13">
        <f t="shared" si="1"/>
        <v>1900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12100</v>
      </c>
      <c r="D53">
        <v>1</v>
      </c>
      <c r="E53" s="13">
        <f t="shared" si="1"/>
        <v>12100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>
        <v>1</v>
      </c>
      <c r="E59" s="13">
        <f t="shared" si="1"/>
        <v>1500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4</v>
      </c>
      <c r="E62" s="13">
        <f t="shared" si="1"/>
        <v>3200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>
        <v>4</v>
      </c>
      <c r="E70" s="13">
        <f t="shared" si="1"/>
        <v>2000</v>
      </c>
    </row>
    <row r="71" spans="1:5" x14ac:dyDescent="0.3">
      <c r="A71" s="11" t="s">
        <v>85</v>
      </c>
      <c r="B71" s="14" t="s">
        <v>86</v>
      </c>
      <c r="C71" s="12">
        <v>400</v>
      </c>
      <c r="D71">
        <v>1</v>
      </c>
      <c r="E71" s="13">
        <f t="shared" si="1"/>
        <v>400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A74" s="11" t="s">
        <v>100</v>
      </c>
      <c r="B74" s="14" t="s">
        <v>101</v>
      </c>
      <c r="C74" s="12">
        <v>300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>
        <v>2000</v>
      </c>
      <c r="D77">
        <v>1</v>
      </c>
      <c r="E77" s="13">
        <f t="shared" si="1"/>
        <v>2000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84300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3"/>
  <sheetViews>
    <sheetView topLeftCell="A30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M1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K2" s="50"/>
      <c r="L2" s="50"/>
      <c r="M2"/>
    </row>
    <row r="3" spans="1:13" x14ac:dyDescent="0.3">
      <c r="A3" s="11" t="s">
        <v>6</v>
      </c>
      <c r="B3" t="s">
        <v>7</v>
      </c>
      <c r="C3" s="12">
        <v>700</v>
      </c>
      <c r="D3">
        <v>2</v>
      </c>
      <c r="E3" s="13">
        <f t="shared" ref="E3:E43" si="0">D3*C3</f>
        <v>1400</v>
      </c>
      <c r="M3"/>
    </row>
    <row r="4" spans="1:13" x14ac:dyDescent="0.3">
      <c r="A4" s="11" t="s">
        <v>8</v>
      </c>
      <c r="B4" t="s">
        <v>9</v>
      </c>
      <c r="C4" s="12">
        <v>700</v>
      </c>
      <c r="D4">
        <v>1</v>
      </c>
      <c r="E4" s="13">
        <f t="shared" si="0"/>
        <v>700</v>
      </c>
      <c r="L4" s="50"/>
      <c r="M4"/>
    </row>
    <row r="5" spans="1:13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  <c r="L5" s="50"/>
      <c r="M5"/>
    </row>
    <row r="6" spans="1:13" x14ac:dyDescent="0.3">
      <c r="A6" s="11" t="s">
        <v>12</v>
      </c>
      <c r="B6" t="s">
        <v>13</v>
      </c>
      <c r="C6" s="12">
        <v>1000</v>
      </c>
      <c r="D6">
        <v>7</v>
      </c>
      <c r="E6" s="13">
        <f>D6*C6</f>
        <v>7000</v>
      </c>
      <c r="L6" s="50"/>
      <c r="M6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L7" s="50"/>
      <c r="M7"/>
    </row>
    <row r="8" spans="1:13" x14ac:dyDescent="0.3">
      <c r="A8" s="11" t="s">
        <v>22</v>
      </c>
      <c r="B8" t="s">
        <v>63</v>
      </c>
      <c r="C8" s="12">
        <v>1000</v>
      </c>
      <c r="D8">
        <v>1</v>
      </c>
      <c r="E8" s="13">
        <f>D8*C8</f>
        <v>1000</v>
      </c>
      <c r="L8" s="50"/>
      <c r="M8"/>
    </row>
    <row r="9" spans="1:13" x14ac:dyDescent="0.3">
      <c r="A9" s="52"/>
      <c r="C9" s="12"/>
      <c r="D9"/>
      <c r="E9" s="13">
        <f t="shared" si="0"/>
        <v>0</v>
      </c>
      <c r="L9" s="50"/>
      <c r="M9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/>
    </row>
    <row r="11" spans="1:13" x14ac:dyDescent="0.3">
      <c r="A11" s="11" t="s">
        <v>6</v>
      </c>
      <c r="B11" t="s">
        <v>17</v>
      </c>
      <c r="C11" s="12">
        <v>600</v>
      </c>
      <c r="D11">
        <v>3</v>
      </c>
      <c r="E11" s="13">
        <f>D11*C11</f>
        <v>1800</v>
      </c>
      <c r="M11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M12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L13" s="50"/>
      <c r="M1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/>
    </row>
    <row r="15" spans="1:13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  <c r="J15" s="50"/>
      <c r="L15" s="50"/>
      <c r="M15"/>
    </row>
    <row r="16" spans="1:13" x14ac:dyDescent="0.3">
      <c r="A16" s="11" t="s">
        <v>22</v>
      </c>
      <c r="B16" t="s">
        <v>23</v>
      </c>
      <c r="C16" s="12">
        <v>500</v>
      </c>
      <c r="D16">
        <v>7</v>
      </c>
      <c r="E16" s="13">
        <f t="shared" si="0"/>
        <v>3500</v>
      </c>
      <c r="J16" s="50"/>
      <c r="L16" s="50"/>
      <c r="M16"/>
    </row>
    <row r="17" spans="1:13" x14ac:dyDescent="0.3">
      <c r="A17" s="11" t="s">
        <v>24</v>
      </c>
      <c r="B17" t="s">
        <v>25</v>
      </c>
      <c r="C17" s="12">
        <v>400</v>
      </c>
      <c r="D17">
        <v>2</v>
      </c>
      <c r="E17" s="13">
        <f t="shared" si="0"/>
        <v>800</v>
      </c>
      <c r="L17" s="50"/>
      <c r="M17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</row>
    <row r="19" spans="1:13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  <c r="M19"/>
    </row>
    <row r="20" spans="1:13" x14ac:dyDescent="0.3">
      <c r="A20" s="11" t="s">
        <v>30</v>
      </c>
      <c r="B20" t="s">
        <v>31</v>
      </c>
      <c r="C20" s="12">
        <v>500</v>
      </c>
      <c r="D20">
        <v>4</v>
      </c>
      <c r="E20" s="13">
        <f t="shared" si="0"/>
        <v>2000</v>
      </c>
      <c r="L20" s="50"/>
      <c r="M20"/>
    </row>
    <row r="21" spans="1:13" x14ac:dyDescent="0.3">
      <c r="A21" s="11" t="s">
        <v>32</v>
      </c>
      <c r="B21" t="s">
        <v>33</v>
      </c>
      <c r="C21" s="12">
        <v>200</v>
      </c>
      <c r="D21">
        <v>5</v>
      </c>
      <c r="E21" s="13">
        <f t="shared" si="0"/>
        <v>1000</v>
      </c>
      <c r="L21" s="50"/>
      <c r="M21"/>
    </row>
    <row r="22" spans="1:13" x14ac:dyDescent="0.3">
      <c r="A22" s="11" t="s">
        <v>34</v>
      </c>
      <c r="B22" t="s">
        <v>35</v>
      </c>
      <c r="C22" s="12">
        <v>500</v>
      </c>
      <c r="D22">
        <v>3</v>
      </c>
      <c r="E22" s="13">
        <f t="shared" si="0"/>
        <v>1500</v>
      </c>
      <c r="M22"/>
    </row>
    <row r="23" spans="1:13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  <c r="J23" s="50"/>
      <c r="L23" s="50"/>
      <c r="M23"/>
    </row>
    <row r="24" spans="1:13" x14ac:dyDescent="0.3">
      <c r="A24" s="11" t="s">
        <v>68</v>
      </c>
      <c r="B24" t="s">
        <v>92</v>
      </c>
      <c r="C24" s="12">
        <v>400</v>
      </c>
      <c r="D24">
        <v>2</v>
      </c>
      <c r="E24" s="13">
        <f t="shared" si="0"/>
        <v>800</v>
      </c>
      <c r="L24" s="50"/>
      <c r="M24"/>
    </row>
    <row r="25" spans="1:13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  <c r="J25" s="50"/>
      <c r="L25" s="50"/>
      <c r="M25"/>
    </row>
    <row r="26" spans="1:13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 s="32"/>
    </row>
    <row r="27" spans="1:13" x14ac:dyDescent="0.3">
      <c r="A27" s="11"/>
      <c r="C27" s="12"/>
      <c r="D27"/>
      <c r="E27" s="13">
        <f t="shared" si="0"/>
        <v>0</v>
      </c>
      <c r="M27" s="32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2"/>
    </row>
    <row r="29" spans="1:13" x14ac:dyDescent="0.3">
      <c r="A29" s="11" t="s">
        <v>6</v>
      </c>
      <c r="B29" t="s">
        <v>37</v>
      </c>
      <c r="C29" s="12">
        <v>100</v>
      </c>
      <c r="D29">
        <v>162</v>
      </c>
      <c r="E29" s="13">
        <f t="shared" si="0"/>
        <v>16200</v>
      </c>
      <c r="M29" s="32"/>
    </row>
    <row r="30" spans="1:13" x14ac:dyDescent="0.3">
      <c r="A30" s="11" t="s">
        <v>8</v>
      </c>
      <c r="B30" t="s">
        <v>38</v>
      </c>
      <c r="C30" s="12">
        <v>200</v>
      </c>
      <c r="D30">
        <v>145</v>
      </c>
      <c r="E30" s="13">
        <f t="shared" si="0"/>
        <v>29000</v>
      </c>
      <c r="M30" s="32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2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2"/>
    </row>
    <row r="33" spans="1:13" x14ac:dyDescent="0.3">
      <c r="A33" s="11" t="s">
        <v>14</v>
      </c>
      <c r="B33" t="s">
        <v>41</v>
      </c>
      <c r="C33" s="12">
        <v>10000</v>
      </c>
      <c r="D33">
        <v>1</v>
      </c>
      <c r="E33" s="13">
        <f t="shared" si="0"/>
        <v>10000</v>
      </c>
      <c r="M33" s="32"/>
    </row>
    <row r="34" spans="1:13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J34" s="31"/>
      <c r="M34" s="32"/>
    </row>
    <row r="35" spans="1:13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31"/>
      <c r="M35" s="32"/>
    </row>
    <row r="36" spans="1:13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  <c r="M36" s="32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2"/>
    </row>
    <row r="38" spans="1:13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  <c r="M38" s="32"/>
    </row>
    <row r="39" spans="1:13" x14ac:dyDescent="0.3">
      <c r="A39" s="11" t="s">
        <v>32</v>
      </c>
      <c r="B39" t="s">
        <v>95</v>
      </c>
      <c r="C39" s="12"/>
      <c r="D39"/>
      <c r="E39" s="13">
        <f t="shared" si="0"/>
        <v>0</v>
      </c>
      <c r="M39" s="32"/>
    </row>
    <row r="40" spans="1:13" x14ac:dyDescent="0.3">
      <c r="C40" s="12"/>
      <c r="D40"/>
      <c r="E40" s="13">
        <f t="shared" si="0"/>
        <v>0</v>
      </c>
      <c r="M40" s="32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2"/>
    </row>
    <row r="42" spans="1:13" x14ac:dyDescent="0.3">
      <c r="A42" s="11" t="s">
        <v>6</v>
      </c>
      <c r="B42" t="s">
        <v>45</v>
      </c>
      <c r="C42" s="12">
        <v>700</v>
      </c>
      <c r="D42">
        <v>3</v>
      </c>
      <c r="E42" s="13">
        <f t="shared" si="0"/>
        <v>2100</v>
      </c>
      <c r="M42" s="32"/>
    </row>
    <row r="43" spans="1:13" x14ac:dyDescent="0.3">
      <c r="A43" s="11" t="s">
        <v>8</v>
      </c>
      <c r="B43" t="s">
        <v>46</v>
      </c>
      <c r="C43" s="12">
        <v>500</v>
      </c>
      <c r="D43">
        <v>1</v>
      </c>
      <c r="E43" s="13">
        <f t="shared" si="0"/>
        <v>500</v>
      </c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78" si="1">D46*C46</f>
        <v>0</v>
      </c>
    </row>
    <row r="47" spans="1:13" x14ac:dyDescent="0.3">
      <c r="C47" s="12"/>
      <c r="D47"/>
      <c r="E47" s="13">
        <f t="shared" si="1"/>
        <v>0</v>
      </c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12</v>
      </c>
      <c r="E49" s="13">
        <f t="shared" si="1"/>
        <v>1200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12300</v>
      </c>
      <c r="D53">
        <v>1</v>
      </c>
      <c r="E53" s="13">
        <f t="shared" si="1"/>
        <v>12300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3</v>
      </c>
      <c r="E62" s="13">
        <f t="shared" si="1"/>
        <v>2400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400</v>
      </c>
      <c r="D65">
        <v>2</v>
      </c>
      <c r="E65" s="13">
        <f t="shared" si="1"/>
        <v>800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A74" s="11" t="s">
        <v>100</v>
      </c>
      <c r="B74" s="14" t="s">
        <v>101</v>
      </c>
      <c r="C74" s="12">
        <v>300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101200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4"/>
  <sheetViews>
    <sheetView topLeftCell="B61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  <c r="M1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K2" s="50"/>
      <c r="M2" s="50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M3" s="50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L4" s="50"/>
      <c r="M4" s="50"/>
    </row>
    <row r="5" spans="1:13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  <c r="M5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50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K7" s="50"/>
      <c r="M7" s="50"/>
    </row>
    <row r="8" spans="1:13" x14ac:dyDescent="0.3">
      <c r="A8" s="11" t="s">
        <v>22</v>
      </c>
      <c r="B8" t="s">
        <v>63</v>
      </c>
      <c r="C8" s="12">
        <v>1000</v>
      </c>
      <c r="D8">
        <v>3</v>
      </c>
      <c r="E8" s="13">
        <f>D8*C8</f>
        <v>3000</v>
      </c>
      <c r="K8" s="50"/>
      <c r="M8" s="50"/>
    </row>
    <row r="9" spans="1:13" x14ac:dyDescent="0.3">
      <c r="A9" s="11"/>
      <c r="C9" s="12"/>
      <c r="D9"/>
      <c r="E9" s="13">
        <f t="shared" si="0"/>
        <v>0</v>
      </c>
      <c r="M9" s="50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I10" s="51"/>
      <c r="K10" s="50"/>
      <c r="M10" s="50"/>
    </row>
    <row r="11" spans="1:13" x14ac:dyDescent="0.3">
      <c r="A11" s="11" t="s">
        <v>6</v>
      </c>
      <c r="B11" t="s">
        <v>17</v>
      </c>
      <c r="C11" s="49">
        <v>600</v>
      </c>
      <c r="D11">
        <v>1</v>
      </c>
      <c r="E11" s="13">
        <f>D11*C11</f>
        <v>600</v>
      </c>
      <c r="M11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K12" s="50"/>
      <c r="M12" s="50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/>
    </row>
    <row r="15" spans="1:13" x14ac:dyDescent="0.3">
      <c r="A15" s="11" t="s">
        <v>14</v>
      </c>
      <c r="B15" t="s">
        <v>21</v>
      </c>
      <c r="C15" s="12">
        <v>1500</v>
      </c>
      <c r="D15">
        <v>1</v>
      </c>
      <c r="E15" s="13">
        <f t="shared" si="0"/>
        <v>1500</v>
      </c>
      <c r="M15"/>
    </row>
    <row r="16" spans="1:13" x14ac:dyDescent="0.3">
      <c r="A16" s="11" t="s">
        <v>22</v>
      </c>
      <c r="B16" t="s">
        <v>23</v>
      </c>
      <c r="C16" s="12">
        <v>500</v>
      </c>
      <c r="D16">
        <v>1</v>
      </c>
      <c r="E16" s="13">
        <f t="shared" si="0"/>
        <v>500</v>
      </c>
      <c r="M16" s="50"/>
    </row>
    <row r="17" spans="1:13" x14ac:dyDescent="0.3">
      <c r="A17" s="11" t="s">
        <v>24</v>
      </c>
      <c r="B17" t="s">
        <v>25</v>
      </c>
      <c r="C17" s="12">
        <v>400</v>
      </c>
      <c r="D17">
        <v>5</v>
      </c>
      <c r="E17" s="13">
        <f t="shared" si="0"/>
        <v>2000</v>
      </c>
      <c r="M17" s="50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/>
    </row>
    <row r="19" spans="1:13" x14ac:dyDescent="0.3">
      <c r="A19" s="11" t="s">
        <v>28</v>
      </c>
      <c r="B19" t="s">
        <v>29</v>
      </c>
      <c r="C19" s="12">
        <v>400</v>
      </c>
      <c r="D19">
        <v>1</v>
      </c>
      <c r="E19" s="13">
        <f t="shared" si="0"/>
        <v>400</v>
      </c>
      <c r="M19"/>
    </row>
    <row r="20" spans="1:13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/>
    </row>
    <row r="21" spans="1:13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  <c r="M21" s="32"/>
    </row>
    <row r="22" spans="1:13" x14ac:dyDescent="0.3">
      <c r="A22" s="11" t="s">
        <v>34</v>
      </c>
      <c r="B22" t="s">
        <v>35</v>
      </c>
      <c r="C22" s="12">
        <v>500</v>
      </c>
      <c r="D22">
        <v>1</v>
      </c>
      <c r="E22" s="13">
        <f t="shared" si="0"/>
        <v>500</v>
      </c>
      <c r="M22" s="32"/>
    </row>
    <row r="23" spans="1:13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  <c r="M23" s="32"/>
    </row>
    <row r="24" spans="1:13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M24" s="32"/>
    </row>
    <row r="25" spans="1:13" x14ac:dyDescent="0.3">
      <c r="A25" s="11" t="s">
        <v>70</v>
      </c>
      <c r="B25" t="s">
        <v>94</v>
      </c>
      <c r="C25" s="12">
        <v>600</v>
      </c>
      <c r="D25">
        <v>3</v>
      </c>
      <c r="E25" s="13">
        <f t="shared" si="0"/>
        <v>1800</v>
      </c>
      <c r="M25" s="32"/>
    </row>
    <row r="26" spans="1:13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 s="32"/>
    </row>
    <row r="27" spans="1:13" x14ac:dyDescent="0.3">
      <c r="A27" s="11"/>
      <c r="C27" s="12"/>
      <c r="D27"/>
      <c r="E27" s="13">
        <f t="shared" si="0"/>
        <v>0</v>
      </c>
      <c r="M27" s="32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2"/>
    </row>
    <row r="29" spans="1:13" x14ac:dyDescent="0.3">
      <c r="A29" s="11" t="s">
        <v>6</v>
      </c>
      <c r="B29" t="s">
        <v>37</v>
      </c>
      <c r="C29" s="12">
        <v>100</v>
      </c>
      <c r="D29">
        <v>173</v>
      </c>
      <c r="E29" s="13">
        <f t="shared" si="0"/>
        <v>17300</v>
      </c>
      <c r="M29" s="32"/>
    </row>
    <row r="30" spans="1:13" x14ac:dyDescent="0.3">
      <c r="A30" s="11" t="s">
        <v>8</v>
      </c>
      <c r="B30" t="s">
        <v>38</v>
      </c>
      <c r="C30" s="12">
        <v>200</v>
      </c>
      <c r="D30">
        <v>49.5</v>
      </c>
      <c r="E30" s="13">
        <f t="shared" si="0"/>
        <v>9900</v>
      </c>
      <c r="M30" s="32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2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2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2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1"/>
      <c r="M34" s="32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1"/>
      <c r="M35" s="32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2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2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2"/>
    </row>
    <row r="39" spans="1:13" x14ac:dyDescent="0.3">
      <c r="A39" s="11" t="s">
        <v>32</v>
      </c>
      <c r="B39" t="s">
        <v>95</v>
      </c>
      <c r="C39" s="49">
        <v>500</v>
      </c>
      <c r="D39"/>
      <c r="E39" s="13">
        <f t="shared" si="0"/>
        <v>0</v>
      </c>
      <c r="M39" s="32"/>
    </row>
    <row r="40" spans="1:13" x14ac:dyDescent="0.3">
      <c r="C40" s="12"/>
      <c r="D40"/>
      <c r="E40" s="13">
        <f t="shared" si="0"/>
        <v>0</v>
      </c>
      <c r="M40" s="32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2"/>
    </row>
    <row r="42" spans="1:13" x14ac:dyDescent="0.3">
      <c r="A42" s="11" t="s">
        <v>6</v>
      </c>
      <c r="B42" t="s">
        <v>45</v>
      </c>
      <c r="C42" s="12">
        <v>350</v>
      </c>
      <c r="D42">
        <v>1</v>
      </c>
      <c r="E42" s="13">
        <f t="shared" si="0"/>
        <v>350</v>
      </c>
      <c r="M42" s="32"/>
    </row>
    <row r="43" spans="1:13" x14ac:dyDescent="0.3">
      <c r="A43" s="11" t="s">
        <v>8</v>
      </c>
      <c r="B43" t="s">
        <v>46</v>
      </c>
      <c r="C43" s="12">
        <v>500</v>
      </c>
      <c r="D43">
        <v>1</v>
      </c>
      <c r="E43" s="13">
        <f t="shared" si="0"/>
        <v>500</v>
      </c>
      <c r="M43" s="32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2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2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2" si="1">D46*C46</f>
        <v>0</v>
      </c>
      <c r="M46" s="32"/>
    </row>
    <row r="47" spans="1:13" x14ac:dyDescent="0.3">
      <c r="C47" s="12"/>
      <c r="D47"/>
      <c r="E47" s="13">
        <f t="shared" si="1"/>
        <v>0</v>
      </c>
      <c r="M47" s="32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2"/>
    </row>
    <row r="49" spans="1:13" x14ac:dyDescent="0.3">
      <c r="A49" s="11" t="s">
        <v>6</v>
      </c>
      <c r="B49" t="s">
        <v>51</v>
      </c>
      <c r="C49" s="12">
        <v>100</v>
      </c>
      <c r="D49">
        <v>0</v>
      </c>
      <c r="E49" s="13">
        <f t="shared" si="1"/>
        <v>0</v>
      </c>
      <c r="M49" s="32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2"/>
    </row>
    <row r="51" spans="1:13" x14ac:dyDescent="0.3">
      <c r="A51" s="11"/>
      <c r="C51" s="12"/>
      <c r="D51"/>
      <c r="E51" s="13">
        <f t="shared" si="1"/>
        <v>0</v>
      </c>
      <c r="M51" s="32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2"/>
    </row>
    <row r="53" spans="1:13" x14ac:dyDescent="0.3">
      <c r="A53" s="11" t="s">
        <v>6</v>
      </c>
      <c r="B53" s="14" t="s">
        <v>54</v>
      </c>
      <c r="C53" s="12">
        <v>7300</v>
      </c>
      <c r="D53">
        <v>1</v>
      </c>
      <c r="E53" s="13">
        <f t="shared" si="1"/>
        <v>7300</v>
      </c>
      <c r="M53" s="32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2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2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2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2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2"/>
    </row>
    <row r="59" spans="1:13" x14ac:dyDescent="0.3">
      <c r="A59" s="11" t="s">
        <v>24</v>
      </c>
      <c r="B59" s="14" t="s">
        <v>60</v>
      </c>
      <c r="C59" s="12">
        <v>1500</v>
      </c>
      <c r="D59">
        <v>2</v>
      </c>
      <c r="E59" s="13">
        <f t="shared" si="1"/>
        <v>3000</v>
      </c>
      <c r="M59" s="32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2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2"/>
    </row>
    <row r="62" spans="1:13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  <c r="M62" s="32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2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2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2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2"/>
    </row>
    <row r="67" spans="1:13" x14ac:dyDescent="0.3">
      <c r="A67" s="11" t="s">
        <v>70</v>
      </c>
      <c r="B67" s="14" t="s">
        <v>71</v>
      </c>
      <c r="C67" s="12">
        <v>1300</v>
      </c>
      <c r="D67">
        <v>4</v>
      </c>
      <c r="E67" s="13">
        <f t="shared" si="1"/>
        <v>5200</v>
      </c>
      <c r="M67" s="32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2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2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2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2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2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2"/>
    </row>
    <row r="74" spans="1:13" x14ac:dyDescent="0.3">
      <c r="A74" s="11" t="s">
        <v>100</v>
      </c>
      <c r="B74" s="14" t="s">
        <v>101</v>
      </c>
      <c r="C74" s="12">
        <v>300</v>
      </c>
      <c r="D74"/>
      <c r="M74" s="32"/>
    </row>
    <row r="75" spans="1:13" x14ac:dyDescent="0.3">
      <c r="C75" s="12"/>
      <c r="D75"/>
      <c r="E75" s="13">
        <f t="shared" si="1"/>
        <v>0</v>
      </c>
      <c r="M75" s="32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 s="32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 s="32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 s="32"/>
    </row>
    <row r="79" spans="1:13" x14ac:dyDescent="0.3">
      <c r="A79" s="11"/>
      <c r="B79" s="14"/>
      <c r="C79" s="12"/>
      <c r="D79"/>
      <c r="E79" s="13">
        <f t="shared" si="1"/>
        <v>0</v>
      </c>
      <c r="M79" s="32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" si="2">D80*C80</f>
        <v>0</v>
      </c>
      <c r="M80" s="32"/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1"/>
        <v>0</v>
      </c>
      <c r="M81" s="32"/>
    </row>
    <row r="82" spans="1:13" x14ac:dyDescent="0.3">
      <c r="E82" s="13">
        <f t="shared" si="1"/>
        <v>0</v>
      </c>
      <c r="M82" s="32"/>
    </row>
    <row r="83" spans="1:13" x14ac:dyDescent="0.3">
      <c r="M83" s="32"/>
    </row>
    <row r="84" spans="1:13" x14ac:dyDescent="0.3">
      <c r="B84" t="s">
        <v>80</v>
      </c>
      <c r="E84" s="13">
        <f>SUM(E2:E81)</f>
        <v>56150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Sales-22</vt:lpstr>
      <vt:lpstr>Sales-23</vt:lpstr>
      <vt:lpstr>Sales-24</vt:lpstr>
      <vt:lpstr>Sales-25</vt:lpstr>
      <vt:lpstr>Sales-26</vt:lpstr>
      <vt:lpstr>Sales-27</vt:lpstr>
      <vt:lpstr>Sales-28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2024-03-03T20:09:35Z</dcterms:modified>
</cp:coreProperties>
</file>
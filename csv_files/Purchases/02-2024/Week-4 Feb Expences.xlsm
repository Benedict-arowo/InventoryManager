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E14556B6-AAF6-4C08-9742-B0E61B3B0136}" xr6:coauthVersionLast="47" xr6:coauthVersionMax="47" xr10:uidLastSave="{00000000-0000-0000-0000-000000000000}"/>
  <bookViews>
    <workbookView xWindow="-108" yWindow="-108" windowWidth="23256" windowHeight="12456" tabRatio="658" firstSheet="1" activeTab="1" xr2:uid="{00000000-000D-0000-FFFF-FFFF00000000}"/>
  </bookViews>
  <sheets>
    <sheet name="Summary" sheetId="8" r:id="rId1"/>
    <sheet name="Expence-22" sheetId="1" r:id="rId2"/>
    <sheet name="Expence-23" sheetId="2" r:id="rId3"/>
    <sheet name="Expence-24" sheetId="3" r:id="rId4"/>
    <sheet name="Expence-25" sheetId="4" r:id="rId5"/>
    <sheet name="Expence-26" sheetId="5" r:id="rId6"/>
    <sheet name="Expence-27" sheetId="6" r:id="rId7"/>
    <sheet name="Expence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1" l="1"/>
  <c r="E83" i="2" l="1"/>
  <c r="E85" i="7"/>
  <c r="E83" i="7"/>
  <c r="E84" i="7"/>
  <c r="C82" i="7"/>
  <c r="C14" i="7"/>
  <c r="E84" i="6"/>
  <c r="E83" i="6"/>
  <c r="E85" i="6"/>
  <c r="E86" i="6"/>
  <c r="E87" i="6"/>
  <c r="E88" i="6"/>
  <c r="E89" i="6"/>
  <c r="C83" i="6"/>
  <c r="C5" i="6"/>
  <c r="C14" i="6"/>
  <c r="C20" i="6"/>
  <c r="C21" i="6"/>
  <c r="C19" i="6"/>
  <c r="C15" i="6"/>
  <c r="C16" i="6"/>
  <c r="C24" i="6"/>
  <c r="C10" i="6"/>
  <c r="C61" i="6"/>
  <c r="C3" i="6"/>
  <c r="C32" i="5"/>
  <c r="E4" i="3"/>
  <c r="E84" i="3"/>
  <c r="E83" i="3"/>
  <c r="E81" i="3"/>
  <c r="E82" i="3"/>
  <c r="E80" i="3"/>
  <c r="C10" i="3"/>
  <c r="C6" i="3"/>
  <c r="C61" i="3"/>
  <c r="C3" i="3"/>
  <c r="C21" i="3"/>
  <c r="E23" i="3"/>
  <c r="E24" i="3"/>
  <c r="C24" i="3"/>
  <c r="C5" i="3"/>
  <c r="C15" i="3"/>
  <c r="C19" i="3"/>
  <c r="C16" i="3"/>
  <c r="C18" i="3"/>
  <c r="C20" i="3"/>
  <c r="C38" i="3"/>
  <c r="C80" i="3"/>
  <c r="C70" i="3"/>
  <c r="C21" i="2"/>
  <c r="E84" i="2"/>
  <c r="E82" i="2"/>
  <c r="E81" i="2"/>
  <c r="E80" i="2"/>
  <c r="E84" i="1"/>
  <c r="E83" i="1"/>
  <c r="E82" i="1"/>
  <c r="E81" i="1"/>
  <c r="C61" i="7"/>
  <c r="E80" i="7"/>
  <c r="E81" i="7"/>
  <c r="E86" i="7"/>
  <c r="E80" i="6" l="1"/>
  <c r="E82" i="6"/>
  <c r="E81" i="6"/>
  <c r="E83" i="5"/>
  <c r="E82" i="5"/>
  <c r="E81" i="5"/>
  <c r="E80" i="5"/>
  <c r="C6" i="5"/>
  <c r="C19" i="5"/>
  <c r="C10" i="5"/>
  <c r="E25" i="5"/>
  <c r="G25" i="8" s="1"/>
  <c r="C24" i="5"/>
  <c r="C18" i="5"/>
  <c r="C16" i="5"/>
  <c r="C21" i="5"/>
  <c r="C69" i="5"/>
  <c r="C5" i="5"/>
  <c r="C3" i="5"/>
  <c r="C4" i="5"/>
  <c r="E83" i="4"/>
  <c r="E82" i="4"/>
  <c r="E81" i="4"/>
  <c r="E80" i="4"/>
  <c r="E80" i="1"/>
  <c r="E85" i="1"/>
  <c r="J80" i="8"/>
  <c r="J81" i="8"/>
  <c r="J82" i="8"/>
  <c r="I72" i="8"/>
  <c r="H72" i="8"/>
  <c r="H77" i="8"/>
  <c r="G72" i="8"/>
  <c r="G77" i="8"/>
  <c r="F72" i="8"/>
  <c r="F77" i="8"/>
  <c r="E77" i="8"/>
  <c r="D77" i="8"/>
  <c r="C72" i="8"/>
  <c r="C77" i="8"/>
  <c r="E72" i="3"/>
  <c r="E72" i="8" s="1"/>
  <c r="E72" i="2"/>
  <c r="D72" i="8" s="1"/>
  <c r="C42" i="1"/>
  <c r="I22" i="8"/>
  <c r="I23" i="8"/>
  <c r="I24" i="8"/>
  <c r="I25" i="8"/>
  <c r="F25" i="8"/>
  <c r="E23" i="8"/>
  <c r="E24" i="8"/>
  <c r="E79" i="6"/>
  <c r="H79" i="8" s="1"/>
  <c r="E78" i="6"/>
  <c r="H78" i="8" s="1"/>
  <c r="E79" i="5"/>
  <c r="G79" i="8" s="1"/>
  <c r="E78" i="5"/>
  <c r="G78" i="8" s="1"/>
  <c r="E79" i="4"/>
  <c r="F79" i="8" s="1"/>
  <c r="E78" i="4"/>
  <c r="F78" i="8" s="1"/>
  <c r="E79" i="3"/>
  <c r="E79" i="8" s="1"/>
  <c r="E78" i="3"/>
  <c r="E78" i="8" s="1"/>
  <c r="E79" i="2"/>
  <c r="D79" i="8" s="1"/>
  <c r="E78" i="2"/>
  <c r="D78" i="8" s="1"/>
  <c r="E79" i="1"/>
  <c r="C79" i="8" s="1"/>
  <c r="E78" i="1"/>
  <c r="C78" i="8" s="1"/>
  <c r="E38" i="1"/>
  <c r="C38" i="8" s="1"/>
  <c r="E38" i="2"/>
  <c r="D38" i="8" s="1"/>
  <c r="E38" i="3"/>
  <c r="E38" i="8" s="1"/>
  <c r="E38" i="4"/>
  <c r="F38" i="8" s="1"/>
  <c r="E38" i="5"/>
  <c r="G38" i="8" s="1"/>
  <c r="E38" i="6"/>
  <c r="H38" i="8" s="1"/>
  <c r="E82" i="7"/>
  <c r="E79" i="7"/>
  <c r="I79" i="8" s="1"/>
  <c r="E77" i="7"/>
  <c r="I77" i="8" s="1"/>
  <c r="E78" i="7"/>
  <c r="I78" i="8" s="1"/>
  <c r="E38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5" i="3"/>
  <c r="E25" i="8" s="1"/>
  <c r="E22" i="2"/>
  <c r="D22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5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52" i="8" l="1"/>
  <c r="E85" i="2"/>
  <c r="D21" i="8"/>
  <c r="D3" i="8"/>
  <c r="D83" i="8" l="1"/>
  <c r="E76" i="7"/>
  <c r="I76" i="8" s="1"/>
  <c r="E75" i="7"/>
  <c r="I75" i="8" s="1"/>
  <c r="E74" i="7"/>
  <c r="I74" i="8" s="1"/>
  <c r="E73" i="7"/>
  <c r="I73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J37" i="8" s="1"/>
  <c r="E36" i="7"/>
  <c r="I36" i="8" s="1"/>
  <c r="J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61" i="8" l="1"/>
  <c r="I83" i="8" s="1"/>
  <c r="E87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52" i="8" l="1"/>
  <c r="H83" i="8" s="1"/>
  <c r="E90" i="6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76" i="5"/>
  <c r="G76" i="8" s="1"/>
  <c r="E75" i="5"/>
  <c r="G75" i="8" s="1"/>
  <c r="E74" i="5"/>
  <c r="G74" i="8" s="1"/>
  <c r="E73" i="5"/>
  <c r="G73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6" i="4"/>
  <c r="F76" i="8" s="1"/>
  <c r="E75" i="4"/>
  <c r="F75" i="8" s="1"/>
  <c r="E74" i="4"/>
  <c r="F74" i="8" s="1"/>
  <c r="E73" i="4"/>
  <c r="F73" i="8" s="1"/>
  <c r="E71" i="4"/>
  <c r="F71" i="8" s="1"/>
  <c r="J71" i="8" s="1"/>
  <c r="E70" i="4"/>
  <c r="F70" i="8" s="1"/>
  <c r="J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4" i="4" l="1"/>
  <c r="E76" i="3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8"/>
  <c r="J4" i="8" s="1"/>
  <c r="E3" i="3"/>
  <c r="E2" i="3"/>
  <c r="E76" i="8" l="1"/>
  <c r="J76" i="8" s="1"/>
  <c r="E85" i="3"/>
  <c r="F83" i="8"/>
  <c r="E3" i="8"/>
  <c r="J3" i="8" l="1"/>
  <c r="E83" i="8"/>
  <c r="J83" i="8" s="1"/>
</calcChain>
</file>

<file path=xl/sharedStrings.xml><?xml version="1.0" encoding="utf-8"?>
<sst xmlns="http://schemas.openxmlformats.org/spreadsheetml/2006/main" count="1168" uniqueCount="126">
  <si>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</si>
  <si>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</si>
  <si>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</si>
  <si>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</si>
  <si>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</si>
  <si>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</si>
  <si>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</si>
  <si>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</si>
  <si>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</si>
  <si>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</si>
  <si>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</si>
  <si>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</si>
  <si>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</si>
  <si>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</si>
  <si>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</si>
  <si>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</si>
  <si>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</si>
  <si>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</si>
  <si>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</si>
  <si>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</si>
  <si>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</si>
  <si>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</si>
  <si>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</si>
  <si>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</si>
  <si>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</si>
  <si>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</si>
  <si>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</si>
  <si>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</si>
  <si>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</si>
  <si>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</si>
  <si>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</si>
  <si>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</si>
  <si>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</si>
  <si>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</si>
  <si>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</si>
  <si>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</si>
  <si>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</si>
  <si>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</si>
  <si>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</si>
  <si>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</si>
  <si>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</si>
  <si>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</si>
  <si>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</si>
  <si>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</si>
  <si>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</si>
  <si>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</si>
  <si>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</si>
  <si>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</si>
  <si>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</si>
  <si>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</si>
  <si>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</si>
  <si>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</si>
  <si>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</si>
  <si>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</si>
  <si>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</si>
  <si>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</si>
  <si>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</si>
  <si>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</si>
  <si>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</si>
  <si>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</si>
  <si>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</si>
  <si>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</si>
  <si>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</si>
  <si>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</si>
  <si>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</si>
  <si>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</si>
  <si>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</si>
  <si>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</si>
  <si>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</si>
  <si>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</si>
  <si>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</si>
  <si>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</si>
  <si>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</si>
  <si>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</si>
  <si>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</si>
  <si>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</si>
  <si>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</si>
  <si>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</si>
  <si>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</si>
  <si>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</si>
  <si>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</si>
  <si>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</si>
  <si>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</si>
  <si>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</si>
  <si>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</si>
  <si>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</si>
  <si>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</si>
  <si>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</si>
  <si>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</si>
  <si>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</si>
  <si>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</si>
  <si>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</si>
  <si>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</si>
  <si>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</si>
  <si>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</si>
  <si>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</si>
  <si>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</si>
  <si>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</si>
  <si>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</si>
  <si>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</si>
  <si>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Tapoly 4yards</t>
  </si>
  <si>
    <t>Rope 4yards</t>
  </si>
  <si>
    <t>Sewing</t>
  </si>
  <si>
    <t>Transport</t>
  </si>
  <si>
    <t>Car petrol</t>
  </si>
  <si>
    <t>Fish</t>
  </si>
  <si>
    <t>Pepper</t>
  </si>
  <si>
    <t>Detergent</t>
  </si>
  <si>
    <t>Liquid Soap</t>
  </si>
  <si>
    <t>Yam</t>
  </si>
  <si>
    <t>Soda</t>
  </si>
  <si>
    <t>Car Petrol</t>
  </si>
  <si>
    <t>Medicine</t>
  </si>
  <si>
    <t>Maggi</t>
  </si>
  <si>
    <t>Salt</t>
  </si>
  <si>
    <t>Onion</t>
  </si>
  <si>
    <t>Vegetable Oil</t>
  </si>
  <si>
    <t>Charcoal</t>
  </si>
  <si>
    <t>Garlic &amp; Ginger</t>
  </si>
  <si>
    <t>Cent leaf</t>
  </si>
  <si>
    <t>Gas</t>
  </si>
  <si>
    <t>Bike</t>
  </si>
  <si>
    <t>Dried pepper</t>
  </si>
  <si>
    <t>Tennis Eggs</t>
  </si>
  <si>
    <t>Petrol</t>
  </si>
  <si>
    <t>Tennis 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</si>
</sst>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61" zoomScale="77" zoomScaleNormal="100" zoomScaleSheetLayoutView="106" workbookViewId="0">
      <selection activeCell="H75" sqref="H7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'Expence-22'!E3</f>
        <v>0</v>
      </c>
      <c r="D3" s="36">
        <f>'Expence-23'!E3</f>
        <v>0</v>
      </c>
      <c r="E3" s="36">
        <f>'Expence-24'!E3</f>
        <v>5000</v>
      </c>
      <c r="F3" s="36">
        <f>'Expence-25'!E3</f>
        <v>0</v>
      </c>
      <c r="G3" s="36">
        <f>'Expence-26'!E3</f>
        <v>0</v>
      </c>
      <c r="H3" s="36">
        <f>'Expence-27'!E3</f>
        <v>10000</v>
      </c>
      <c r="I3" s="36">
        <f>'Expence-28'!E3</f>
        <v>0</v>
      </c>
      <c r="J3" s="34">
        <f>SUM(C3:I3)</f>
        <v>15000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'Expence-22'!E4</f>
        <v>0</v>
      </c>
      <c r="D4" s="36">
        <f>'Expence-23'!E4</f>
        <v>0</v>
      </c>
      <c r="E4" s="36">
        <f>'Expence-24'!E4</f>
        <v>0</v>
      </c>
      <c r="F4" s="36">
        <f>'Expence-25'!E4</f>
        <v>0</v>
      </c>
      <c r="G4" s="36">
        <f>'Expence-26'!E4</f>
        <v>0</v>
      </c>
      <c r="H4" s="36">
        <f>'Expence-27'!E4</f>
        <v>0</v>
      </c>
      <c r="I4" s="36">
        <f>'Expence-28'!E4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'Expence-22'!E5</f>
        <v>0</v>
      </c>
      <c r="D5" s="36">
        <f>'Expence-23'!E5</f>
        <v>0</v>
      </c>
      <c r="E5" s="36">
        <f>'Expence-24'!E5</f>
        <v>7100</v>
      </c>
      <c r="F5" s="36">
        <f>'Expence-25'!E5</f>
        <v>0</v>
      </c>
      <c r="G5" s="36">
        <f>'Expence-26'!E5</f>
        <v>0</v>
      </c>
      <c r="H5" s="36">
        <f>'Expence-27'!E5</f>
        <v>14800</v>
      </c>
      <c r="I5" s="36">
        <f>'Expence-28'!E5</f>
        <v>0</v>
      </c>
      <c r="J5" s="34">
        <f t="shared" si="0"/>
        <v>21900</v>
      </c>
    </row>
    <row r="6" spans="1:15" ht="15" thickBot="1" x14ac:dyDescent="0.35">
      <c r="A6" s="26" t="s">
        <v>12</v>
      </c>
      <c r="B6" s="27" t="s">
        <v>13</v>
      </c>
      <c r="C6" s="36">
        <f>'Expence-22'!E6</f>
        <v>0</v>
      </c>
      <c r="D6" s="36">
        <f>'Expence-23'!E6</f>
        <v>0</v>
      </c>
      <c r="E6" s="36">
        <f>'Expence-24'!E6</f>
        <v>18000</v>
      </c>
      <c r="F6" s="36">
        <f>'Expence-25'!E6</f>
        <v>0</v>
      </c>
      <c r="G6" s="36">
        <f>'Expence-26'!E6</f>
        <v>0</v>
      </c>
      <c r="H6" s="36">
        <f>'Expence-27'!E6</f>
        <v>0</v>
      </c>
      <c r="I6" s="36">
        <f>'Expence-28'!E6</f>
        <v>0</v>
      </c>
      <c r="J6" s="34">
        <f t="shared" si="0"/>
        <v>18000</v>
      </c>
    </row>
    <row r="7" spans="1:15" ht="15" thickBot="1" x14ac:dyDescent="0.35">
      <c r="A7" s="26" t="s">
        <v>14</v>
      </c>
      <c r="B7" s="27" t="s">
        <v>15</v>
      </c>
      <c r="C7" s="36">
        <f>'Expence-22'!E7</f>
        <v>0</v>
      </c>
      <c r="D7" s="36">
        <f>'Expence-23'!E7</f>
        <v>0</v>
      </c>
      <c r="E7" s="36">
        <f>'Expence-24'!E7</f>
        <v>0</v>
      </c>
      <c r="F7" s="36">
        <f>'Expence-25'!E7</f>
        <v>0</v>
      </c>
      <c r="G7" s="36">
        <f>'Expence-26'!E7</f>
        <v>0</v>
      </c>
      <c r="H7" s="36">
        <f>'Expence-27'!E7</f>
        <v>0</v>
      </c>
      <c r="I7" s="36">
        <f>'Expence-28'!E7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'Expence-22'!E8</f>
        <v>0</v>
      </c>
      <c r="D8" s="36">
        <f>'Expence-23'!E8</f>
        <v>0</v>
      </c>
      <c r="E8" s="36">
        <f>'Expence-24'!E8</f>
        <v>0</v>
      </c>
      <c r="F8" s="36">
        <f>'Expence-25'!E8</f>
        <v>0</v>
      </c>
      <c r="G8" s="36">
        <f>'Expence-26'!E8</f>
        <v>0</v>
      </c>
      <c r="H8" s="36">
        <f>'Expence-27'!E8</f>
        <v>0</v>
      </c>
      <c r="I8" s="36">
        <f>'Expence-28'!E8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'Expence-22'!E9</f>
        <v>0</v>
      </c>
      <c r="D9" s="36">
        <f>'Expence-23'!E9</f>
        <v>0</v>
      </c>
      <c r="E9" s="36">
        <f>'Expence-24'!E9</f>
        <v>0</v>
      </c>
      <c r="F9" s="36">
        <f>'Expence-25'!E9</f>
        <v>0</v>
      </c>
      <c r="G9" s="36">
        <f>'Expence-26'!E9</f>
        <v>0</v>
      </c>
      <c r="H9" s="36">
        <f>'Expence-27'!E9</f>
        <v>0</v>
      </c>
      <c r="I9" s="36">
        <f>'Expence-28'!E9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'Expence-22'!E10</f>
        <v>0</v>
      </c>
      <c r="D10" s="36">
        <f>'Expence-23'!E10</f>
        <v>0</v>
      </c>
      <c r="E10" s="36">
        <f>'Expence-24'!E10</f>
        <v>4300</v>
      </c>
      <c r="F10" s="36">
        <f>'Expence-25'!E10</f>
        <v>0</v>
      </c>
      <c r="G10" s="36">
        <f>'Expence-26'!E10</f>
        <v>0</v>
      </c>
      <c r="H10" s="36">
        <f>'Expence-27'!E10</f>
        <v>8600</v>
      </c>
      <c r="I10" s="36">
        <f>'Expence-28'!E10</f>
        <v>0</v>
      </c>
      <c r="J10" s="34">
        <f t="shared" si="0"/>
        <v>12900</v>
      </c>
    </row>
    <row r="11" spans="1:15" ht="15" thickBot="1" x14ac:dyDescent="0.35">
      <c r="A11" s="26" t="s">
        <v>8</v>
      </c>
      <c r="B11" s="27" t="s">
        <v>18</v>
      </c>
      <c r="C11" s="36">
        <f>'Expence-22'!E11</f>
        <v>0</v>
      </c>
      <c r="D11" s="36">
        <f>'Expence-23'!E11</f>
        <v>0</v>
      </c>
      <c r="E11" s="36">
        <f>'Expence-24'!E11</f>
        <v>0</v>
      </c>
      <c r="F11" s="36">
        <f>'Expence-25'!E11</f>
        <v>0</v>
      </c>
      <c r="G11" s="36">
        <f>'Expence-26'!E11</f>
        <v>0</v>
      </c>
      <c r="H11" s="36">
        <f>'Expence-27'!E11</f>
        <v>0</v>
      </c>
      <c r="I11" s="36">
        <f>'Expence-28'!E11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'Expence-22'!E12</f>
        <v>0</v>
      </c>
      <c r="D12" s="36">
        <f>'Expence-23'!E12</f>
        <v>0</v>
      </c>
      <c r="E12" s="36">
        <f>'Expence-24'!E12</f>
        <v>0</v>
      </c>
      <c r="F12" s="36">
        <f>'Expence-25'!E12</f>
        <v>0</v>
      </c>
      <c r="G12" s="36">
        <f>'Expence-26'!E12</f>
        <v>0</v>
      </c>
      <c r="H12" s="36">
        <f>'Expence-27'!E12</f>
        <v>0</v>
      </c>
      <c r="I12" s="36">
        <f>'Expence-28'!E12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'Expence-22'!E13</f>
        <v>0</v>
      </c>
      <c r="D13" s="36">
        <f>'Expence-23'!E13</f>
        <v>0</v>
      </c>
      <c r="E13" s="36">
        <f>'Expence-24'!E13</f>
        <v>0</v>
      </c>
      <c r="F13" s="36">
        <f>'Expence-25'!E13</f>
        <v>0</v>
      </c>
      <c r="G13" s="36">
        <f>'Expence-26'!E13</f>
        <v>0</v>
      </c>
      <c r="H13" s="36">
        <f>'Expence-27'!E13</f>
        <v>0</v>
      </c>
      <c r="I13" s="36">
        <f>'Expence-28'!E13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'Expence-22'!E14</f>
        <v>0</v>
      </c>
      <c r="D14" s="36">
        <f>'Expence-23'!E14</f>
        <v>0</v>
      </c>
      <c r="E14" s="36">
        <f>'Expence-24'!E14</f>
        <v>0</v>
      </c>
      <c r="F14" s="36">
        <f>'Expence-25'!E14</f>
        <v>0</v>
      </c>
      <c r="G14" s="36">
        <f>'Expence-26'!E14</f>
        <v>0</v>
      </c>
      <c r="H14" s="36">
        <f>'Expence-27'!E14</f>
        <v>6000</v>
      </c>
      <c r="I14" s="36">
        <f>'Expence-28'!E14</f>
        <v>12000</v>
      </c>
      <c r="J14" s="34">
        <f t="shared" si="0"/>
        <v>18000</v>
      </c>
    </row>
    <row r="15" spans="1:15" ht="15" thickBot="1" x14ac:dyDescent="0.35">
      <c r="A15" s="26" t="s">
        <v>22</v>
      </c>
      <c r="B15" s="27" t="s">
        <v>23</v>
      </c>
      <c r="C15" s="36">
        <f>'Expence-22'!E15</f>
        <v>0</v>
      </c>
      <c r="D15" s="36">
        <f>'Expence-23'!E15</f>
        <v>0</v>
      </c>
      <c r="E15" s="36">
        <f>'Expence-24'!E15</f>
        <v>3500</v>
      </c>
      <c r="F15" s="36">
        <f>'Expence-25'!E15</f>
        <v>0</v>
      </c>
      <c r="G15" s="36">
        <f>'Expence-26'!E15</f>
        <v>0</v>
      </c>
      <c r="H15" s="36">
        <f>'Expence-27'!E15</f>
        <v>7000</v>
      </c>
      <c r="I15" s="36">
        <f>'Expence-28'!E15</f>
        <v>0</v>
      </c>
      <c r="J15" s="34">
        <f t="shared" si="0"/>
        <v>10500</v>
      </c>
    </row>
    <row r="16" spans="1:15" ht="15" thickBot="1" x14ac:dyDescent="0.35">
      <c r="A16" s="26" t="s">
        <v>24</v>
      </c>
      <c r="B16" s="27" t="s">
        <v>25</v>
      </c>
      <c r="C16" s="36">
        <f>'Expence-22'!E16</f>
        <v>0</v>
      </c>
      <c r="D16" s="36">
        <f>'Expence-23'!E16</f>
        <v>0</v>
      </c>
      <c r="E16" s="36">
        <f>'Expence-24'!E16</f>
        <v>2900</v>
      </c>
      <c r="F16" s="36">
        <f>'Expence-25'!E16</f>
        <v>0</v>
      </c>
      <c r="G16" s="36">
        <f>'Expence-26'!E16</f>
        <v>0</v>
      </c>
      <c r="H16" s="36">
        <f>'Expence-27'!E16</f>
        <v>5800</v>
      </c>
      <c r="I16" s="36">
        <f>'Expence-28'!E16</f>
        <v>0</v>
      </c>
      <c r="J16" s="34">
        <f t="shared" si="0"/>
        <v>8700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'Expence-22'!E17</f>
        <v>0</v>
      </c>
      <c r="D17" s="36">
        <f>'Expence-23'!E17</f>
        <v>0</v>
      </c>
      <c r="E17" s="36">
        <f>'Expence-24'!E17</f>
        <v>0</v>
      </c>
      <c r="F17" s="36">
        <f>'Expence-25'!E17</f>
        <v>0</v>
      </c>
      <c r="G17" s="36">
        <f>'Expence-26'!E17</f>
        <v>0</v>
      </c>
      <c r="H17" s="36">
        <f>'Expence-27'!E17</f>
        <v>0</v>
      </c>
      <c r="I17" s="36">
        <f>'Expence-28'!E17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'Expence-22'!E18</f>
        <v>0</v>
      </c>
      <c r="D18" s="36">
        <f>'Expence-23'!E18</f>
        <v>0</v>
      </c>
      <c r="E18" s="36">
        <f>'Expence-24'!E18</f>
        <v>2900</v>
      </c>
      <c r="F18" s="36">
        <f>'Expence-25'!E18</f>
        <v>0</v>
      </c>
      <c r="G18" s="36">
        <f>'Expence-26'!E18</f>
        <v>0</v>
      </c>
      <c r="H18" s="36">
        <f>'Expence-27'!E18</f>
        <v>0</v>
      </c>
      <c r="I18" s="36">
        <f>'Expence-28'!E18</f>
        <v>0</v>
      </c>
      <c r="J18" s="34">
        <f t="shared" si="0"/>
        <v>2900</v>
      </c>
    </row>
    <row r="19" spans="1:10" ht="15" thickBot="1" x14ac:dyDescent="0.35">
      <c r="A19" s="26" t="s">
        <v>30</v>
      </c>
      <c r="B19" s="27" t="s">
        <v>31</v>
      </c>
      <c r="C19" s="36">
        <f>'Expence-22'!E19</f>
        <v>0</v>
      </c>
      <c r="D19" s="36">
        <f>'Expence-23'!E19</f>
        <v>0</v>
      </c>
      <c r="E19" s="36">
        <f>'Expence-24'!E19</f>
        <v>3600</v>
      </c>
      <c r="F19" s="36">
        <f>'Expence-25'!E19</f>
        <v>0</v>
      </c>
      <c r="G19" s="36">
        <f>'Expence-26'!E19</f>
        <v>0</v>
      </c>
      <c r="H19" s="36">
        <f>'Expence-27'!E19</f>
        <v>7200</v>
      </c>
      <c r="I19" s="36">
        <f>'Expence-28'!E19</f>
        <v>0</v>
      </c>
      <c r="J19" s="34">
        <f t="shared" si="0"/>
        <v>10800</v>
      </c>
    </row>
    <row r="20" spans="1:10" ht="15" thickBot="1" x14ac:dyDescent="0.35">
      <c r="A20" s="26" t="s">
        <v>32</v>
      </c>
      <c r="B20" s="27" t="s">
        <v>33</v>
      </c>
      <c r="C20" s="36">
        <f>'Expence-22'!E20</f>
        <v>0</v>
      </c>
      <c r="D20" s="36">
        <f>'Expence-23'!E20</f>
        <v>0</v>
      </c>
      <c r="E20" s="36">
        <f>'Expence-24'!E20</f>
        <v>3900</v>
      </c>
      <c r="F20" s="36">
        <f>'Expence-25'!E20</f>
        <v>0</v>
      </c>
      <c r="G20" s="36">
        <f>'Expence-26'!E20</f>
        <v>0</v>
      </c>
      <c r="H20" s="36">
        <f>'Expence-27'!E20</f>
        <v>6000</v>
      </c>
      <c r="I20" s="36">
        <f>'Expence-28'!E20</f>
        <v>0</v>
      </c>
      <c r="J20" s="34">
        <f t="shared" si="0"/>
        <v>9900</v>
      </c>
    </row>
    <row r="21" spans="1:10" ht="15" thickBot="1" x14ac:dyDescent="0.35">
      <c r="A21" s="26" t="s">
        <v>34</v>
      </c>
      <c r="B21" s="27" t="s">
        <v>35</v>
      </c>
      <c r="C21" s="36">
        <f>'Expence-22'!E21</f>
        <v>0</v>
      </c>
      <c r="D21" s="36">
        <f>'Expence-23'!E21</f>
        <v>3500</v>
      </c>
      <c r="E21" s="36">
        <f>'Expence-24'!E21</f>
        <v>3400</v>
      </c>
      <c r="F21" s="36">
        <f>'Expence-25'!E21</f>
        <v>0</v>
      </c>
      <c r="G21" s="36">
        <f>'Expence-26'!E21</f>
        <v>0</v>
      </c>
      <c r="H21" s="36">
        <f>'Expence-27'!E21</f>
        <v>7200</v>
      </c>
      <c r="I21" s="36">
        <f>'Expence-28'!E21</f>
        <v>0</v>
      </c>
      <c r="J21" s="34">
        <f t="shared" si="0"/>
        <v>14100</v>
      </c>
    </row>
    <row r="22" spans="1:10" ht="15" thickBot="1" x14ac:dyDescent="0.35">
      <c r="A22" s="26" t="s">
        <v>66</v>
      </c>
      <c r="B22" s="27" t="s">
        <v>91</v>
      </c>
      <c r="C22" s="36">
        <f>'Expence-22'!E22</f>
        <v>0</v>
      </c>
      <c r="D22" s="36">
        <f>'Expence-23'!E22</f>
        <v>0</v>
      </c>
      <c r="E22" s="36">
        <f>'Expence-24'!E22</f>
        <v>0</v>
      </c>
      <c r="F22" s="36">
        <f>'Expence-25'!E22</f>
        <v>0</v>
      </c>
      <c r="G22" s="36">
        <f>'Expence-26'!E22</f>
        <v>0</v>
      </c>
      <c r="H22" s="36">
        <f>'Expence-27'!E22</f>
        <v>0</v>
      </c>
      <c r="I22" s="36">
        <f>'Expence-28'!E22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'Expence-22'!E23</f>
        <v>0</v>
      </c>
      <c r="D23" s="36">
        <f>'Expence-23'!E23</f>
        <v>0</v>
      </c>
      <c r="E23" s="36">
        <f>'Expence-24'!E23</f>
        <v>0</v>
      </c>
      <c r="F23" s="36">
        <f>'Expence-25'!E23</f>
        <v>0</v>
      </c>
      <c r="G23" s="36">
        <f>'Expence-26'!E23</f>
        <v>0</v>
      </c>
      <c r="H23" s="36">
        <f>'Expence-27'!E23</f>
        <v>0</v>
      </c>
      <c r="I23" s="36">
        <f>'Expence-28'!E23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'Expence-22'!E24</f>
        <v>0</v>
      </c>
      <c r="D24" s="36">
        <f>'Expence-23'!E24</f>
        <v>0</v>
      </c>
      <c r="E24" s="36">
        <f>'Expence-24'!E24</f>
        <v>6300</v>
      </c>
      <c r="F24" s="36">
        <f>'Expence-25'!E24</f>
        <v>0</v>
      </c>
      <c r="G24" s="36">
        <f>'Expence-26'!E24</f>
        <v>0</v>
      </c>
      <c r="H24" s="36">
        <f>'Expence-27'!E24</f>
        <v>6300</v>
      </c>
      <c r="I24" s="36">
        <f>'Expence-28'!E24</f>
        <v>0</v>
      </c>
      <c r="J24" s="34">
        <f t="shared" si="0"/>
        <v>12600</v>
      </c>
    </row>
    <row r="25" spans="1:10" ht="15" thickBot="1" x14ac:dyDescent="0.35">
      <c r="A25" s="26" t="s">
        <v>72</v>
      </c>
      <c r="B25" s="27" t="s">
        <v>93</v>
      </c>
      <c r="C25" s="36">
        <f>'Expence-22'!E25</f>
        <v>0</v>
      </c>
      <c r="D25" s="36">
        <f>'Expence-23'!E25</f>
        <v>0</v>
      </c>
      <c r="E25" s="36">
        <f>'Expence-24'!E25</f>
        <v>0</v>
      </c>
      <c r="F25" s="36">
        <f>'Expence-25'!E25</f>
        <v>0</v>
      </c>
      <c r="G25" s="36">
        <f>'Expence-26'!E25</f>
        <v>0</v>
      </c>
      <c r="H25" s="36">
        <f>'Expence-27'!E25</f>
        <v>0</v>
      </c>
      <c r="I25" s="36">
        <f>'Expence-28'!E25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'Expence-22'!E26</f>
        <v>0</v>
      </c>
      <c r="D26" s="36">
        <f>'Expence-23'!E26</f>
        <v>0</v>
      </c>
      <c r="E26" s="36">
        <f>'Expence-24'!E26</f>
        <v>0</v>
      </c>
      <c r="F26" s="36">
        <f>'Expence-25'!E26</f>
        <v>0</v>
      </c>
      <c r="G26" s="36">
        <f>'Expence-26'!E26</f>
        <v>0</v>
      </c>
      <c r="H26" s="36">
        <f>'Expence-27'!E26</f>
        <v>0</v>
      </c>
      <c r="I26" s="36">
        <f>'Expence-28'!E26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'Expence-22'!E27</f>
        <v>0</v>
      </c>
      <c r="D27" s="36">
        <f>'Expence-23'!E27</f>
        <v>0</v>
      </c>
      <c r="E27" s="36">
        <f>'Expence-24'!E27</f>
        <v>0</v>
      </c>
      <c r="F27" s="36">
        <f>'Expence-25'!E27</f>
        <v>0</v>
      </c>
      <c r="G27" s="36">
        <f>'Expence-26'!E27</f>
        <v>0</v>
      </c>
      <c r="H27" s="36">
        <f>'Expence-27'!E27</f>
        <v>0</v>
      </c>
      <c r="I27" s="36">
        <f>'Expence-28'!E27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'Expence-22'!E28</f>
        <v>0</v>
      </c>
      <c r="D28" s="36">
        <f>'Expence-23'!E28</f>
        <v>0</v>
      </c>
      <c r="E28" s="36">
        <f>'Expence-24'!E28</f>
        <v>32000</v>
      </c>
      <c r="F28" s="36">
        <f>'Expence-25'!E28</f>
        <v>0</v>
      </c>
      <c r="G28" s="36">
        <f>'Expence-26'!E28</f>
        <v>0</v>
      </c>
      <c r="H28" s="36">
        <f>'Expence-27'!E28</f>
        <v>0</v>
      </c>
      <c r="I28" s="36">
        <f>'Expence-28'!E28</f>
        <v>19500</v>
      </c>
      <c r="J28" s="34">
        <f t="shared" si="0"/>
        <v>51500</v>
      </c>
    </row>
    <row r="29" spans="1:10" ht="15" thickBot="1" x14ac:dyDescent="0.35">
      <c r="A29" s="26" t="s">
        <v>8</v>
      </c>
      <c r="B29" s="27" t="s">
        <v>38</v>
      </c>
      <c r="C29" s="36">
        <f>'Expence-22'!E29</f>
        <v>0</v>
      </c>
      <c r="D29" s="36">
        <f>'Expence-23'!E29</f>
        <v>31000</v>
      </c>
      <c r="E29" s="36">
        <f>'Expence-24'!E29</f>
        <v>0</v>
      </c>
      <c r="F29" s="36">
        <f>'Expence-25'!E29</f>
        <v>0</v>
      </c>
      <c r="G29" s="36">
        <f>'Expence-26'!E29</f>
        <v>0</v>
      </c>
      <c r="H29" s="36">
        <f>'Expence-27'!E29</f>
        <v>26000</v>
      </c>
      <c r="I29" s="36">
        <f>'Expence-28'!E29</f>
        <v>26500</v>
      </c>
      <c r="J29" s="34">
        <f t="shared" si="0"/>
        <v>83500</v>
      </c>
    </row>
    <row r="30" spans="1:10" ht="15" thickBot="1" x14ac:dyDescent="0.35">
      <c r="A30" s="26" t="s">
        <v>10</v>
      </c>
      <c r="B30" s="27" t="s">
        <v>39</v>
      </c>
      <c r="C30" s="36">
        <f>'Expence-22'!E30</f>
        <v>0</v>
      </c>
      <c r="D30" s="36">
        <f>'Expence-23'!E30</f>
        <v>0</v>
      </c>
      <c r="E30" s="36">
        <f>'Expence-24'!E30</f>
        <v>0</v>
      </c>
      <c r="F30" s="36">
        <f>'Expence-25'!E30</f>
        <v>0</v>
      </c>
      <c r="G30" s="36">
        <f>'Expence-26'!E30</f>
        <v>0</v>
      </c>
      <c r="H30" s="36">
        <f>'Expence-27'!E30</f>
        <v>0</v>
      </c>
      <c r="I30" s="36">
        <f>'Expence-28'!E30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'Expence-22'!E31</f>
        <v>0</v>
      </c>
      <c r="D31" s="36">
        <f>'Expence-23'!E31</f>
        <v>0</v>
      </c>
      <c r="E31" s="36">
        <f>'Expence-24'!E31</f>
        <v>0</v>
      </c>
      <c r="F31" s="36">
        <f>'Expence-25'!E31</f>
        <v>0</v>
      </c>
      <c r="G31" s="36">
        <f>'Expence-26'!E31</f>
        <v>0</v>
      </c>
      <c r="H31" s="36">
        <f>'Expence-27'!E31</f>
        <v>0</v>
      </c>
      <c r="I31" s="36">
        <f>'Expence-28'!E31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'Expence-22'!E32</f>
        <v>0</v>
      </c>
      <c r="D32" s="36">
        <f>'Expence-23'!E32</f>
        <v>5000</v>
      </c>
      <c r="E32" s="36">
        <f>'Expence-24'!E32</f>
        <v>0</v>
      </c>
      <c r="F32" s="36">
        <f>'Expence-25'!E32</f>
        <v>0</v>
      </c>
      <c r="G32" s="36">
        <f>'Expence-26'!E32</f>
        <v>7500</v>
      </c>
      <c r="H32" s="36">
        <f>'Expence-27'!E32</f>
        <v>10000</v>
      </c>
      <c r="I32" s="36">
        <f>'Expence-28'!E32</f>
        <v>0</v>
      </c>
      <c r="J32" s="34">
        <f t="shared" si="0"/>
        <v>22500</v>
      </c>
    </row>
    <row r="33" spans="1:18" ht="15" thickBot="1" x14ac:dyDescent="0.35">
      <c r="A33" s="26" t="s">
        <v>22</v>
      </c>
      <c r="B33" s="27" t="s">
        <v>42</v>
      </c>
      <c r="C33" s="36">
        <f>'Expence-22'!E33</f>
        <v>0</v>
      </c>
      <c r="D33" s="36">
        <f>'Expence-23'!E33</f>
        <v>0</v>
      </c>
      <c r="E33" s="36">
        <f>'Expence-24'!E33</f>
        <v>0</v>
      </c>
      <c r="F33" s="36">
        <f>'Expence-25'!E33</f>
        <v>0</v>
      </c>
      <c r="G33" s="36">
        <f>'Expence-26'!E33</f>
        <v>0</v>
      </c>
      <c r="H33" s="36">
        <f>'Expence-27'!E33</f>
        <v>0</v>
      </c>
      <c r="I33" s="36">
        <f>'Expence-28'!E33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'Expence-22'!E34</f>
        <v>0</v>
      </c>
      <c r="D34" s="36">
        <f>'Expence-23'!E34</f>
        <v>0</v>
      </c>
      <c r="E34" s="36">
        <f>'Expence-24'!E34</f>
        <v>0</v>
      </c>
      <c r="F34" s="36">
        <f>'Expence-25'!E34</f>
        <v>0</v>
      </c>
      <c r="G34" s="36">
        <f>'Expence-26'!E34</f>
        <v>0</v>
      </c>
      <c r="H34" s="36">
        <f>'Expence-27'!E34</f>
        <v>0</v>
      </c>
      <c r="I34" s="36">
        <f>'Expence-28'!E34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'Expence-22'!E35</f>
        <v>0</v>
      </c>
      <c r="D35" s="36">
        <f>'Expence-23'!E35</f>
        <v>0</v>
      </c>
      <c r="E35" s="36">
        <f>'Expence-24'!E35</f>
        <v>0</v>
      </c>
      <c r="F35" s="36">
        <f>'Expence-25'!E35</f>
        <v>0</v>
      </c>
      <c r="G35" s="36">
        <f>'Expence-26'!E35</f>
        <v>0</v>
      </c>
      <c r="H35" s="36">
        <f>'Expence-27'!E35</f>
        <v>0</v>
      </c>
      <c r="I35" s="36">
        <f>'Expence-28'!E35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'Expence-22'!E36</f>
        <v>0</v>
      </c>
      <c r="D36" s="36">
        <f>'Expence-23'!E36</f>
        <v>0</v>
      </c>
      <c r="E36" s="36">
        <f>'Expence-24'!E36</f>
        <v>0</v>
      </c>
      <c r="F36" s="36">
        <f>'Expence-25'!E36</f>
        <v>0</v>
      </c>
      <c r="G36" s="36">
        <f>'Expence-26'!E36</f>
        <v>0</v>
      </c>
      <c r="H36" s="36">
        <f>'Expence-27'!E36</f>
        <v>0</v>
      </c>
      <c r="I36" s="36">
        <f>'Expence-28'!E36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'Expence-22'!E37</f>
        <v>0</v>
      </c>
      <c r="D37" s="36">
        <f>'Expence-23'!E37</f>
        <v>0</v>
      </c>
      <c r="E37" s="36">
        <f>'Expence-24'!E37</f>
        <v>0</v>
      </c>
      <c r="F37" s="36">
        <f>'Expence-25'!E37</f>
        <v>0</v>
      </c>
      <c r="G37" s="36">
        <f>'Expence-26'!E37</f>
        <v>0</v>
      </c>
      <c r="H37" s="36">
        <f>'Expence-27'!E37</f>
        <v>0</v>
      </c>
      <c r="I37" s="36">
        <f>'Expence-28'!E37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'Expence-22'!E38</f>
        <v>0</v>
      </c>
      <c r="D38" s="36">
        <f>'Expence-23'!E38</f>
        <v>0</v>
      </c>
      <c r="E38" s="36">
        <f>'Expence-24'!E38</f>
        <v>2750</v>
      </c>
      <c r="F38" s="36">
        <f>'Expence-25'!E38</f>
        <v>0</v>
      </c>
      <c r="G38" s="36">
        <f>'Expence-26'!E38</f>
        <v>0</v>
      </c>
      <c r="H38" s="36">
        <f>'Expence-27'!E38</f>
        <v>0</v>
      </c>
      <c r="I38" s="36">
        <f>'Expence-28'!E38</f>
        <v>0</v>
      </c>
      <c r="J38" s="34">
        <f t="shared" si="0"/>
        <v>2750</v>
      </c>
      <c r="O38" s="32"/>
      <c r="R38"/>
    </row>
    <row r="39" spans="1:18" ht="15" thickBot="1" x14ac:dyDescent="0.35">
      <c r="A39" s="27"/>
      <c r="B39" s="27"/>
      <c r="C39" s="36">
        <f>'Expence-22'!E39</f>
        <v>0</v>
      </c>
      <c r="D39" s="36">
        <f>'Expence-23'!E39</f>
        <v>0</v>
      </c>
      <c r="E39" s="36">
        <f>'Expence-24'!E39</f>
        <v>0</v>
      </c>
      <c r="F39" s="36">
        <f>'Expence-25'!E39</f>
        <v>0</v>
      </c>
      <c r="G39" s="36">
        <f>'Expence-26'!E39</f>
        <v>0</v>
      </c>
      <c r="H39" s="36">
        <f>'Expence-27'!E39</f>
        <v>0</v>
      </c>
      <c r="I39" s="36">
        <f>'Expence-28'!E39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'Expence-22'!E40</f>
        <v>0</v>
      </c>
      <c r="D40" s="36">
        <f>'Expence-23'!E40</f>
        <v>0</v>
      </c>
      <c r="E40" s="36">
        <f>'Expence-24'!E40</f>
        <v>0</v>
      </c>
      <c r="F40" s="36">
        <f>'Expence-25'!E40</f>
        <v>0</v>
      </c>
      <c r="G40" s="36">
        <f>'Expence-26'!E40</f>
        <v>0</v>
      </c>
      <c r="H40" s="36">
        <f>'Expence-27'!E40</f>
        <v>0</v>
      </c>
      <c r="I40" s="36">
        <f>'Expence-28'!E40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'Expence-22'!E41</f>
        <v>0</v>
      </c>
      <c r="D41" s="36">
        <f>'Expence-23'!E41</f>
        <v>0</v>
      </c>
      <c r="E41" s="36">
        <f>'Expence-24'!E41</f>
        <v>0</v>
      </c>
      <c r="F41" s="36">
        <f>'Expence-25'!E41</f>
        <v>0</v>
      </c>
      <c r="G41" s="36">
        <f>'Expence-26'!E41</f>
        <v>0</v>
      </c>
      <c r="H41" s="36">
        <f>'Expence-27'!E41</f>
        <v>0</v>
      </c>
      <c r="I41" s="36">
        <f>'Expence-28'!E41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'Expence-22'!E42</f>
        <v>0</v>
      </c>
      <c r="D42" s="36">
        <f>'Expence-23'!E42</f>
        <v>0</v>
      </c>
      <c r="E42" s="36">
        <f>'Expence-24'!E42</f>
        <v>0</v>
      </c>
      <c r="F42" s="36">
        <f>'Expence-25'!E42</f>
        <v>0</v>
      </c>
      <c r="G42" s="36">
        <f>'Expence-26'!E42</f>
        <v>0</v>
      </c>
      <c r="H42" s="36">
        <f>'Expence-27'!E42</f>
        <v>0</v>
      </c>
      <c r="I42" s="36">
        <f>'Expence-28'!E42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'Expence-22'!E43</f>
        <v>0</v>
      </c>
      <c r="D43" s="36">
        <f>'Expence-23'!E43</f>
        <v>0</v>
      </c>
      <c r="E43" s="36">
        <f>'Expence-24'!E43</f>
        <v>0</v>
      </c>
      <c r="F43" s="36">
        <f>'Expence-25'!E43</f>
        <v>0</v>
      </c>
      <c r="G43" s="36">
        <f>'Expence-26'!E43</f>
        <v>0</v>
      </c>
      <c r="H43" s="36">
        <f>'Expence-27'!E43</f>
        <v>0</v>
      </c>
      <c r="I43" s="36">
        <f>'Expence-28'!E43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'Expence-22'!E44</f>
        <v>0</v>
      </c>
      <c r="D44" s="36">
        <f>'Expence-23'!E44</f>
        <v>0</v>
      </c>
      <c r="E44" s="36">
        <f>'Expence-24'!E44</f>
        <v>0</v>
      </c>
      <c r="F44" s="36">
        <f>'Expence-25'!E44</f>
        <v>0</v>
      </c>
      <c r="G44" s="36">
        <f>'Expence-26'!E44</f>
        <v>0</v>
      </c>
      <c r="H44" s="36">
        <f>'Expence-27'!E44</f>
        <v>0</v>
      </c>
      <c r="I44" s="36">
        <f>'Expence-28'!E44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'Expence-22'!E45</f>
        <v>0</v>
      </c>
      <c r="D45" s="36">
        <f>'Expence-23'!E45</f>
        <v>0</v>
      </c>
      <c r="E45" s="36">
        <f>'Expence-24'!E45</f>
        <v>0</v>
      </c>
      <c r="F45" s="36">
        <f>'Expence-25'!E45</f>
        <v>0</v>
      </c>
      <c r="G45" s="36">
        <f>'Expence-26'!E45</f>
        <v>0</v>
      </c>
      <c r="H45" s="36">
        <f>'Expence-27'!E45</f>
        <v>0</v>
      </c>
      <c r="I45" s="36">
        <f>'Expence-28'!E45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'Expence-22'!E46</f>
        <v>0</v>
      </c>
      <c r="D46" s="36">
        <f>'Expence-23'!E46</f>
        <v>0</v>
      </c>
      <c r="E46" s="36">
        <f>'Expence-24'!E46</f>
        <v>0</v>
      </c>
      <c r="F46" s="36">
        <f>'Expence-25'!E46</f>
        <v>0</v>
      </c>
      <c r="G46" s="36">
        <f>'Expence-26'!E46</f>
        <v>0</v>
      </c>
      <c r="H46" s="36">
        <f>'Expence-27'!E46</f>
        <v>0</v>
      </c>
      <c r="I46" s="36">
        <f>'Expence-28'!E46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'Expence-22'!E47</f>
        <v>0</v>
      </c>
      <c r="D47" s="36">
        <f>'Expence-23'!E47</f>
        <v>0</v>
      </c>
      <c r="E47" s="36">
        <f>'Expence-24'!E47</f>
        <v>0</v>
      </c>
      <c r="F47" s="36">
        <f>'Expence-25'!E47</f>
        <v>0</v>
      </c>
      <c r="G47" s="36">
        <f>'Expence-26'!E47</f>
        <v>0</v>
      </c>
      <c r="H47" s="36">
        <f>'Expence-27'!E47</f>
        <v>0</v>
      </c>
      <c r="I47" s="36">
        <f>'Expence-28'!E47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'Expence-22'!E48</f>
        <v>0</v>
      </c>
      <c r="D48" s="36">
        <f>'Expence-23'!E48</f>
        <v>0</v>
      </c>
      <c r="E48" s="36">
        <f>'Expence-24'!E48</f>
        <v>0</v>
      </c>
      <c r="F48" s="36">
        <f>'Expence-25'!E48</f>
        <v>0</v>
      </c>
      <c r="G48" s="36">
        <f>'Expence-26'!E48</f>
        <v>0</v>
      </c>
      <c r="H48" s="36">
        <f>'Expence-27'!E48</f>
        <v>0</v>
      </c>
      <c r="I48" s="36">
        <f>'Expence-28'!E48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'Expence-22'!E49</f>
        <v>0</v>
      </c>
      <c r="D49" s="36">
        <f>'Expence-23'!E49</f>
        <v>0</v>
      </c>
      <c r="E49" s="36">
        <f>'Expence-24'!E49</f>
        <v>0</v>
      </c>
      <c r="F49" s="36">
        <f>'Expence-25'!E49</f>
        <v>0</v>
      </c>
      <c r="G49" s="36">
        <f>'Expence-26'!E49</f>
        <v>0</v>
      </c>
      <c r="H49" s="36">
        <f>'Expence-27'!E49</f>
        <v>0</v>
      </c>
      <c r="I49" s="36">
        <f>'Expence-28'!E49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'Expence-22'!E50</f>
        <v>0</v>
      </c>
      <c r="D50" s="36">
        <f>'Expence-23'!E50</f>
        <v>0</v>
      </c>
      <c r="E50" s="36">
        <f>'Expence-24'!E50</f>
        <v>0</v>
      </c>
      <c r="F50" s="36">
        <f>'Expence-25'!E50</f>
        <v>0</v>
      </c>
      <c r="G50" s="36">
        <f>'Expence-26'!E50</f>
        <v>0</v>
      </c>
      <c r="H50" s="36">
        <f>'Expence-27'!E50</f>
        <v>0</v>
      </c>
      <c r="I50" s="36">
        <f>'Expence-28'!E50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'Expence-22'!E51</f>
        <v>0</v>
      </c>
      <c r="D51" s="36">
        <f>'Expence-23'!E51</f>
        <v>0</v>
      </c>
      <c r="E51" s="36">
        <f>'Expence-24'!E51</f>
        <v>0</v>
      </c>
      <c r="F51" s="36">
        <f>'Expence-25'!E51</f>
        <v>0</v>
      </c>
      <c r="G51" s="36">
        <f>'Expence-26'!E51</f>
        <v>0</v>
      </c>
      <c r="H51" s="36">
        <f>'Expence-27'!E51</f>
        <v>0</v>
      </c>
      <c r="I51" s="36">
        <f>'Expence-28'!E51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'Expence-22'!E52</f>
        <v>0</v>
      </c>
      <c r="D52" s="36">
        <f>'Expence-23'!E52</f>
        <v>8000</v>
      </c>
      <c r="E52" s="36">
        <f>'Expence-24'!E52</f>
        <v>8500</v>
      </c>
      <c r="F52" s="36">
        <f>'Expence-25'!E52</f>
        <v>5500</v>
      </c>
      <c r="G52" s="36">
        <f>'Expence-26'!E52</f>
        <v>8500</v>
      </c>
      <c r="H52" s="36">
        <f>'Expence-27'!E52</f>
        <v>5500</v>
      </c>
      <c r="I52" s="36">
        <f>'Expence-28'!E52</f>
        <v>5500</v>
      </c>
      <c r="J52" s="34">
        <f t="shared" si="0"/>
        <v>41500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'Expence-22'!E53</f>
        <v>0</v>
      </c>
      <c r="D53" s="36">
        <f>'Expence-23'!E53</f>
        <v>0</v>
      </c>
      <c r="E53" s="36">
        <f>'Expence-24'!E53</f>
        <v>0</v>
      </c>
      <c r="F53" s="36">
        <f>'Expence-25'!E53</f>
        <v>0</v>
      </c>
      <c r="G53" s="36">
        <f>'Expence-26'!E53</f>
        <v>0</v>
      </c>
      <c r="H53" s="36">
        <f>'Expence-27'!E53</f>
        <v>0</v>
      </c>
      <c r="I53" s="36">
        <f>'Expence-28'!E53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'Expence-22'!E54</f>
        <v>0</v>
      </c>
      <c r="D54" s="36">
        <f>'Expence-23'!E54</f>
        <v>0</v>
      </c>
      <c r="E54" s="36">
        <f>'Expence-24'!E54</f>
        <v>0</v>
      </c>
      <c r="F54" s="36">
        <f>'Expence-25'!E54</f>
        <v>0</v>
      </c>
      <c r="G54" s="36">
        <f>'Expence-26'!E54</f>
        <v>0</v>
      </c>
      <c r="H54" s="36">
        <f>'Expence-27'!E54</f>
        <v>0</v>
      </c>
      <c r="I54" s="36">
        <f>'Expence-28'!E54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'Expence-22'!E55</f>
        <v>0</v>
      </c>
      <c r="D55" s="36">
        <f>'Expence-23'!E55</f>
        <v>0</v>
      </c>
      <c r="E55" s="36">
        <f>'Expence-24'!E55</f>
        <v>0</v>
      </c>
      <c r="F55" s="36">
        <f>'Expence-25'!E55</f>
        <v>0</v>
      </c>
      <c r="G55" s="36">
        <f>'Expence-26'!E55</f>
        <v>0</v>
      </c>
      <c r="H55" s="36">
        <f>'Expence-27'!E55</f>
        <v>0</v>
      </c>
      <c r="I55" s="36">
        <f>'Expence-28'!E55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'Expence-22'!E56</f>
        <v>0</v>
      </c>
      <c r="D56" s="36">
        <f>'Expence-23'!E56</f>
        <v>0</v>
      </c>
      <c r="E56" s="36">
        <f>'Expence-24'!E56</f>
        <v>0</v>
      </c>
      <c r="F56" s="36">
        <f>'Expence-25'!E56</f>
        <v>0</v>
      </c>
      <c r="G56" s="36">
        <f>'Expence-26'!E56</f>
        <v>0</v>
      </c>
      <c r="H56" s="36">
        <f>'Expence-27'!E56</f>
        <v>0</v>
      </c>
      <c r="I56" s="36">
        <f>'Expence-28'!E56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'Expence-22'!E57</f>
        <v>0</v>
      </c>
      <c r="D57" s="36">
        <f>'Expence-23'!E57</f>
        <v>0</v>
      </c>
      <c r="E57" s="36">
        <f>'Expence-24'!E57</f>
        <v>0</v>
      </c>
      <c r="F57" s="36">
        <f>'Expence-25'!E57</f>
        <v>0</v>
      </c>
      <c r="G57" s="36">
        <f>'Expence-26'!E57</f>
        <v>0</v>
      </c>
      <c r="H57" s="36">
        <f>'Expence-27'!E57</f>
        <v>0</v>
      </c>
      <c r="I57" s="36">
        <f>'Expence-28'!E57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'Expence-22'!E58</f>
        <v>0</v>
      </c>
      <c r="D58" s="36">
        <f>'Expence-23'!E58</f>
        <v>0</v>
      </c>
      <c r="E58" s="36">
        <f>'Expence-24'!E58</f>
        <v>0</v>
      </c>
      <c r="F58" s="36">
        <f>'Expence-25'!E58</f>
        <v>0</v>
      </c>
      <c r="G58" s="36">
        <f>'Expence-26'!E58</f>
        <v>0</v>
      </c>
      <c r="H58" s="36">
        <f>'Expence-27'!E58</f>
        <v>0</v>
      </c>
      <c r="I58" s="36">
        <f>'Expence-28'!E58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'Expence-22'!E59</f>
        <v>0</v>
      </c>
      <c r="D59" s="36">
        <f>'Expence-23'!E59</f>
        <v>0</v>
      </c>
      <c r="E59" s="36">
        <f>'Expence-24'!E59</f>
        <v>0</v>
      </c>
      <c r="F59" s="36">
        <f>'Expence-25'!E59</f>
        <v>0</v>
      </c>
      <c r="G59" s="36">
        <f>'Expence-26'!E59</f>
        <v>0</v>
      </c>
      <c r="H59" s="36">
        <f>'Expence-27'!E59</f>
        <v>0</v>
      </c>
      <c r="I59" s="36">
        <f>'Expence-28'!E59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'Expence-22'!E60</f>
        <v>0</v>
      </c>
      <c r="D60" s="36">
        <f>'Expence-23'!E60</f>
        <v>0</v>
      </c>
      <c r="E60" s="36">
        <f>'Expence-24'!E60</f>
        <v>0</v>
      </c>
      <c r="F60" s="36">
        <f>'Expence-25'!E60</f>
        <v>0</v>
      </c>
      <c r="G60" s="36">
        <f>'Expence-26'!E60</f>
        <v>0</v>
      </c>
      <c r="H60" s="36">
        <f>'Expence-27'!E60</f>
        <v>0</v>
      </c>
      <c r="I60" s="36">
        <f>'Expence-28'!E60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'Expence-22'!E61</f>
        <v>0</v>
      </c>
      <c r="D61" s="36">
        <f>'Expence-23'!E61</f>
        <v>0</v>
      </c>
      <c r="E61" s="36">
        <f>'Expence-24'!E61</f>
        <v>6500</v>
      </c>
      <c r="F61" s="36">
        <f>'Expence-25'!E61</f>
        <v>0</v>
      </c>
      <c r="G61" s="36">
        <f>'Expence-26'!E61</f>
        <v>0</v>
      </c>
      <c r="H61" s="36">
        <f>'Expence-27'!E61</f>
        <v>13000</v>
      </c>
      <c r="I61" s="36">
        <f>'Expence-28'!E61</f>
        <v>0</v>
      </c>
      <c r="J61" s="34">
        <f t="shared" si="0"/>
        <v>19500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'Expence-22'!E62</f>
        <v>0</v>
      </c>
      <c r="D62" s="36">
        <f>'Expence-23'!E62</f>
        <v>0</v>
      </c>
      <c r="E62" s="36">
        <f>'Expence-24'!E62</f>
        <v>0</v>
      </c>
      <c r="F62" s="36">
        <f>'Expence-25'!E62</f>
        <v>0</v>
      </c>
      <c r="G62" s="36">
        <f>'Expence-26'!E62</f>
        <v>0</v>
      </c>
      <c r="H62" s="36">
        <f>'Expence-27'!E62</f>
        <v>0</v>
      </c>
      <c r="I62" s="36">
        <f>'Expence-28'!E62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'Expence-22'!E63</f>
        <v>0</v>
      </c>
      <c r="D63" s="36">
        <f>'Expence-23'!E63</f>
        <v>0</v>
      </c>
      <c r="E63" s="36">
        <f>'Expence-24'!E63</f>
        <v>0</v>
      </c>
      <c r="F63" s="36">
        <f>'Expence-25'!E63</f>
        <v>0</v>
      </c>
      <c r="G63" s="36">
        <f>'Expence-26'!E63</f>
        <v>0</v>
      </c>
      <c r="H63" s="36">
        <f>'Expence-27'!E63</f>
        <v>0</v>
      </c>
      <c r="I63" s="36">
        <f>'Expence-28'!E63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'Expence-22'!E64</f>
        <v>0</v>
      </c>
      <c r="D64" s="36">
        <f>'Expence-23'!E64</f>
        <v>0</v>
      </c>
      <c r="E64" s="36">
        <f>'Expence-24'!E64</f>
        <v>0</v>
      </c>
      <c r="F64" s="36">
        <f>'Expence-25'!E64</f>
        <v>0</v>
      </c>
      <c r="G64" s="36">
        <f>'Expence-26'!E64</f>
        <v>0</v>
      </c>
      <c r="H64" s="36">
        <f>'Expence-27'!E64</f>
        <v>0</v>
      </c>
      <c r="I64" s="36">
        <f>'Expence-28'!E64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'Expence-22'!E65</f>
        <v>0</v>
      </c>
      <c r="D65" s="36">
        <f>'Expence-23'!E65</f>
        <v>0</v>
      </c>
      <c r="E65" s="36">
        <f>'Expence-24'!E65</f>
        <v>0</v>
      </c>
      <c r="F65" s="36">
        <f>'Expence-25'!E65</f>
        <v>0</v>
      </c>
      <c r="G65" s="36">
        <f>'Expence-26'!E65</f>
        <v>0</v>
      </c>
      <c r="H65" s="36">
        <f>'Expence-27'!E65</f>
        <v>0</v>
      </c>
      <c r="I65" s="36">
        <f>'Expence-28'!E65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'Expence-22'!E66</f>
        <v>0</v>
      </c>
      <c r="D66" s="36">
        <f>'Expence-23'!E66</f>
        <v>0</v>
      </c>
      <c r="E66" s="36">
        <f>'Expence-24'!E66</f>
        <v>0</v>
      </c>
      <c r="F66" s="36">
        <f>'Expence-25'!E66</f>
        <v>0</v>
      </c>
      <c r="G66" s="36">
        <f>'Expence-26'!E66</f>
        <v>0</v>
      </c>
      <c r="H66" s="36">
        <f>'Expence-27'!E66</f>
        <v>0</v>
      </c>
      <c r="I66" s="36">
        <f>'Expence-28'!E66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'Expence-22'!E67</f>
        <v>0</v>
      </c>
      <c r="D67" s="36">
        <f>'Expence-23'!E67</f>
        <v>0</v>
      </c>
      <c r="E67" s="36">
        <f>'Expence-24'!E67</f>
        <v>0</v>
      </c>
      <c r="F67" s="36">
        <f>'Expence-25'!E67</f>
        <v>0</v>
      </c>
      <c r="G67" s="36">
        <f>'Expence-26'!E67</f>
        <v>0</v>
      </c>
      <c r="H67" s="36">
        <f>'Expence-27'!E67</f>
        <v>0</v>
      </c>
      <c r="I67" s="36">
        <f>'Expence-28'!E67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'Expence-22'!E68</f>
        <v>0</v>
      </c>
      <c r="D68" s="36">
        <f>'Expence-23'!E68</f>
        <v>0</v>
      </c>
      <c r="E68" s="36">
        <f>'Expence-24'!E68</f>
        <v>0</v>
      </c>
      <c r="F68" s="36">
        <f>'Expence-25'!E68</f>
        <v>0</v>
      </c>
      <c r="G68" s="36">
        <f>'Expence-26'!E68</f>
        <v>0</v>
      </c>
      <c r="H68" s="36">
        <f>'Expence-27'!E68</f>
        <v>0</v>
      </c>
      <c r="I68" s="36">
        <f>'Expence-28'!E68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'Expence-22'!E69</f>
        <v>0</v>
      </c>
      <c r="D69" s="36">
        <f>'Expence-23'!E69</f>
        <v>0</v>
      </c>
      <c r="E69" s="36">
        <f>'Expence-24'!E69</f>
        <v>0</v>
      </c>
      <c r="F69" s="36">
        <f>'Expence-25'!E69</f>
        <v>0</v>
      </c>
      <c r="G69" s="36">
        <f>'Expence-26'!E69</f>
        <v>0</v>
      </c>
      <c r="H69" s="36">
        <f>'Expence-27'!E69</f>
        <v>0</v>
      </c>
      <c r="I69" s="36">
        <f>'Expence-28'!E69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'Expence-22'!E70</f>
        <v>0</v>
      </c>
      <c r="D70" s="36">
        <f>'Expence-23'!E70</f>
        <v>0</v>
      </c>
      <c r="E70" s="36">
        <f>'Expence-24'!E70</f>
        <v>4750</v>
      </c>
      <c r="F70" s="36">
        <f>'Expence-25'!E70</f>
        <v>0</v>
      </c>
      <c r="G70" s="36">
        <f>'Expence-26'!E70</f>
        <v>0</v>
      </c>
      <c r="H70" s="36">
        <f>'Expence-27'!E70</f>
        <v>0</v>
      </c>
      <c r="I70" s="36">
        <f>'Expence-28'!E70</f>
        <v>0</v>
      </c>
      <c r="J70" s="34">
        <f t="shared" si="1"/>
        <v>4750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'Expence-22'!E71</f>
        <v>0</v>
      </c>
      <c r="D71" s="36">
        <f>'Expence-23'!E71</f>
        <v>0</v>
      </c>
      <c r="E71" s="36">
        <f>'Expence-24'!E71</f>
        <v>0</v>
      </c>
      <c r="F71" s="36">
        <f>'Expence-25'!E71</f>
        <v>0</v>
      </c>
      <c r="G71" s="36">
        <f>'Expence-26'!E71</f>
        <v>0</v>
      </c>
      <c r="H71" s="36">
        <f>'Expence-27'!E71</f>
        <v>0</v>
      </c>
      <c r="I71" s="36">
        <f>'Expence-28'!E71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'Expence-22'!E72</f>
        <v>0</v>
      </c>
      <c r="D72" s="36">
        <f>'Expence-23'!E72</f>
        <v>0</v>
      </c>
      <c r="E72" s="36">
        <f>'Expence-24'!E72</f>
        <v>0</v>
      </c>
      <c r="F72" s="36">
        <f>'Expence-25'!E72</f>
        <v>0</v>
      </c>
      <c r="G72" s="36">
        <f>'Expence-26'!E72</f>
        <v>0</v>
      </c>
      <c r="H72" s="36">
        <f>'Expence-27'!E72</f>
        <v>0</v>
      </c>
      <c r="I72" s="36">
        <f>'Expence-28'!E72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'Expence-22'!E73</f>
        <v>0</v>
      </c>
      <c r="D73" s="36">
        <f>'Expence-23'!E73</f>
        <v>0</v>
      </c>
      <c r="E73" s="36">
        <f>'Expence-24'!E73</f>
        <v>0</v>
      </c>
      <c r="F73" s="36">
        <f>'Expence-25'!E73</f>
        <v>0</v>
      </c>
      <c r="G73" s="36">
        <f>'Expence-26'!E73</f>
        <v>0</v>
      </c>
      <c r="H73" s="36">
        <f>'Expence-27'!E73</f>
        <v>0</v>
      </c>
      <c r="I73" s="36">
        <f>'Expence-28'!E73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'Expence-22'!E74</f>
        <v>0</v>
      </c>
      <c r="D74" s="36">
        <f>'Expence-23'!E74</f>
        <v>0</v>
      </c>
      <c r="E74" s="36">
        <f>'Expence-24'!E74</f>
        <v>0</v>
      </c>
      <c r="F74" s="36">
        <f>'Expence-25'!E74</f>
        <v>0</v>
      </c>
      <c r="G74" s="36">
        <f>'Expence-26'!E74</f>
        <v>0</v>
      </c>
      <c r="H74" s="36">
        <f>'Expence-27'!E74</f>
        <v>0</v>
      </c>
      <c r="I74" s="36">
        <f>'Expence-28'!E74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'Expence-22'!E75</f>
        <v>0</v>
      </c>
      <c r="D75" s="36">
        <f>'Expence-23'!E75</f>
        <v>0</v>
      </c>
      <c r="E75" s="36">
        <f>'Expence-24'!E75</f>
        <v>0</v>
      </c>
      <c r="F75" s="36">
        <f>'Expence-25'!E75</f>
        <v>0</v>
      </c>
      <c r="G75" s="36">
        <f>'Expence-26'!E75</f>
        <v>0</v>
      </c>
      <c r="H75" s="36">
        <f>'Expence-27'!E75</f>
        <v>0</v>
      </c>
      <c r="I75" s="36">
        <f>'Expence-28'!E75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'Expence-22'!E76</f>
        <v>0</v>
      </c>
      <c r="D76" s="36">
        <f>'Expence-23'!E76</f>
        <v>0</v>
      </c>
      <c r="E76" s="36">
        <f>'Expence-24'!E76</f>
        <v>0</v>
      </c>
      <c r="F76" s="36">
        <f>'Expence-25'!E76</f>
        <v>0</v>
      </c>
      <c r="G76" s="36">
        <f>'Expence-26'!E76</f>
        <v>0</v>
      </c>
      <c r="H76" s="36">
        <f>'Expence-27'!E76</f>
        <v>0</v>
      </c>
      <c r="I76" s="36">
        <f>'Expence-28'!E76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'Expence-22'!E77</f>
        <v>0</v>
      </c>
      <c r="D77" s="36">
        <f>'Expence-23'!E77</f>
        <v>0</v>
      </c>
      <c r="E77" s="36">
        <f>'Expence-24'!E77</f>
        <v>0</v>
      </c>
      <c r="F77" s="36">
        <f>'Expence-25'!E77</f>
        <v>0</v>
      </c>
      <c r="G77" s="36">
        <f>'Expence-26'!E77</f>
        <v>0</v>
      </c>
      <c r="H77" s="36">
        <f>'Expence-27'!E77</f>
        <v>0</v>
      </c>
      <c r="I77" s="36">
        <f>'Expence-28'!E77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'Expence-22'!E78</f>
        <v>0</v>
      </c>
      <c r="D78" s="36">
        <f>'Expence-23'!E78</f>
        <v>0</v>
      </c>
      <c r="E78" s="36">
        <f>'Expence-24'!E78</f>
        <v>0</v>
      </c>
      <c r="F78" s="36">
        <f>'Expence-25'!E78</f>
        <v>0</v>
      </c>
      <c r="G78" s="36">
        <f>'Expence-26'!E78</f>
        <v>0</v>
      </c>
      <c r="H78" s="36">
        <f>'Expence-27'!E78</f>
        <v>0</v>
      </c>
      <c r="I78" s="36">
        <f>'Expence-28'!E78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'Expence-22'!E79</f>
        <v>0</v>
      </c>
      <c r="D79" s="36">
        <f>'Expence-23'!E79</f>
        <v>0</v>
      </c>
      <c r="E79" s="36">
        <f>'Expence-24'!E79</f>
        <v>0</v>
      </c>
      <c r="F79" s="36">
        <f>'Expence-25'!E79</f>
        <v>0</v>
      </c>
      <c r="G79" s="36">
        <f>'Expence-26'!E79</f>
        <v>0</v>
      </c>
      <c r="H79" s="36">
        <f>'Expence-27'!E79</f>
        <v>0</v>
      </c>
      <c r="I79" s="36">
        <f>'Expence-28'!E79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0</v>
      </c>
      <c r="D83" s="41">
        <f t="shared" ref="D83:I83" si="2">SUM(D3:D82)</f>
        <v>47500</v>
      </c>
      <c r="E83" s="41">
        <f t="shared" si="2"/>
        <v>115400</v>
      </c>
      <c r="F83" s="41">
        <f t="shared" si="2"/>
        <v>5500</v>
      </c>
      <c r="G83" s="41">
        <f t="shared" si="2"/>
        <v>16000</v>
      </c>
      <c r="H83" s="41">
        <f t="shared" si="2"/>
        <v>133400</v>
      </c>
      <c r="I83" s="41">
        <f t="shared" si="2"/>
        <v>63500</v>
      </c>
      <c r="J83" s="34">
        <f t="shared" si="1"/>
        <v>381300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7"/>
  <sheetViews>
    <sheetView tabSelected="1" workbookViewId="0">
      <selection activeCell="I13" sqref="I12:I1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13500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5000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7900</v>
      </c>
      <c r="D52"/>
      <c r="E52" s="13">
        <f t="shared" si="0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v>2000</v>
      </c>
      <c r="D80" s="12">
        <v>4</v>
      </c>
      <c r="E80" s="13">
        <f t="shared" si="1"/>
        <v>8000</v>
      </c>
      <c r="M80"/>
    </row>
    <row r="81" spans="1:13" x14ac:dyDescent="0.3">
      <c r="A81" s="47" t="s">
        <v>10</v>
      </c>
      <c r="B81" s="14" t="s">
        <v>101</v>
      </c>
      <c r="C81">
        <v>200</v>
      </c>
      <c r="D81" s="12">
        <v>4</v>
      </c>
      <c r="E81" s="13">
        <f t="shared" si="1"/>
        <v>800</v>
      </c>
      <c r="M81"/>
    </row>
    <row r="82" spans="1:13" x14ac:dyDescent="0.3">
      <c r="A82" s="47" t="s">
        <v>12</v>
      </c>
      <c r="B82" s="14" t="s">
        <v>102</v>
      </c>
      <c r="C82">
        <v>800</v>
      </c>
      <c r="D82" s="12">
        <v>1</v>
      </c>
      <c r="E82" s="13">
        <f t="shared" si="1"/>
        <v>800</v>
      </c>
      <c r="M82"/>
    </row>
    <row r="83" spans="1:13" x14ac:dyDescent="0.3">
      <c r="A83" s="47" t="s">
        <v>22</v>
      </c>
      <c r="B83" s="14" t="s">
        <v>103</v>
      </c>
      <c r="C83">
        <v>1200</v>
      </c>
      <c r="D83" s="12">
        <v>1</v>
      </c>
      <c r="E83" s="13">
        <f t="shared" si="1"/>
        <v>1200</v>
      </c>
      <c r="M83"/>
    </row>
    <row r="84" spans="1:13" x14ac:dyDescent="0.3">
      <c r="A84" s="47" t="s">
        <v>24</v>
      </c>
      <c r="B84" s="14" t="s">
        <v>104</v>
      </c>
      <c r="C84">
        <v>13200</v>
      </c>
      <c r="D84" s="12">
        <v>1</v>
      </c>
      <c r="E84" s="13">
        <f t="shared" si="1"/>
        <v>13200</v>
      </c>
      <c r="M84"/>
    </row>
    <row r="85" spans="1:13" x14ac:dyDescent="0.3">
      <c r="E85" s="13">
        <f t="shared" si="1"/>
        <v>0</v>
      </c>
      <c r="M85"/>
    </row>
    <row r="86" spans="1:13" x14ac:dyDescent="0.3">
      <c r="B86" t="s">
        <v>80</v>
      </c>
      <c r="E86" s="13">
        <f>SUM(E2:E85)</f>
        <v>24000</v>
      </c>
    </row>
    <row r="87" spans="1:13" x14ac:dyDescent="0.3">
      <c r="M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5"/>
  <sheetViews>
    <sheetView topLeftCell="A52" zoomScale="99" workbookViewId="0">
      <selection activeCell="B83" sqref="B8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f>3500/12</f>
        <v>291.66666666666669</v>
      </c>
      <c r="D21" s="28">
        <v>12</v>
      </c>
      <c r="E21" s="39">
        <f t="shared" si="0"/>
        <v>3500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27" t="s">
        <v>38</v>
      </c>
      <c r="C29" s="28">
        <v>31000</v>
      </c>
      <c r="D29" s="28">
        <v>1</v>
      </c>
      <c r="E29" s="39">
        <f t="shared" si="0"/>
        <v>31000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105</v>
      </c>
      <c r="C32" s="27">
        <v>2500</v>
      </c>
      <c r="D32" s="27">
        <v>2</v>
      </c>
      <c r="E32" s="39">
        <f t="shared" si="0"/>
        <v>5000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8000</v>
      </c>
      <c r="D52" s="28">
        <v>1</v>
      </c>
      <c r="E52" s="39">
        <f t="shared" si="0"/>
        <v>8000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4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0" spans="1:13" x14ac:dyDescent="0.3">
      <c r="A80" s="47" t="s">
        <v>8</v>
      </c>
      <c r="B80" s="14" t="s">
        <v>106</v>
      </c>
      <c r="C80">
        <v>2500</v>
      </c>
      <c r="D80" s="12">
        <v>1</v>
      </c>
      <c r="E80" s="13">
        <f t="shared" si="3"/>
        <v>2500</v>
      </c>
    </row>
    <row r="81" spans="1:5" x14ac:dyDescent="0.3">
      <c r="A81" s="47" t="s">
        <v>10</v>
      </c>
      <c r="B81" s="14" t="s">
        <v>107</v>
      </c>
      <c r="C81">
        <v>1000</v>
      </c>
      <c r="D81" s="12">
        <v>1</v>
      </c>
      <c r="E81" s="13">
        <f t="shared" si="3"/>
        <v>1000</v>
      </c>
    </row>
    <row r="82" spans="1:5" x14ac:dyDescent="0.3">
      <c r="A82" s="47" t="s">
        <v>12</v>
      </c>
      <c r="B82" s="14" t="s">
        <v>108</v>
      </c>
      <c r="C82">
        <v>1300</v>
      </c>
      <c r="D82" s="12">
        <v>1</v>
      </c>
      <c r="E82" s="13">
        <f t="shared" si="3"/>
        <v>1300</v>
      </c>
    </row>
    <row r="83" spans="1:5" x14ac:dyDescent="0.3">
      <c r="A83" s="47" t="s">
        <v>14</v>
      </c>
      <c r="B83" s="14" t="s">
        <v>125</v>
      </c>
      <c r="C83">
        <v>500</v>
      </c>
      <c r="D83" s="12">
        <v>1</v>
      </c>
      <c r="E83" s="13">
        <f t="shared" si="3"/>
        <v>500</v>
      </c>
    </row>
    <row r="84" spans="1:5" x14ac:dyDescent="0.3">
      <c r="E84" s="13">
        <f t="shared" si="3"/>
        <v>0</v>
      </c>
    </row>
    <row r="85" spans="1:5" x14ac:dyDescent="0.3">
      <c r="B85" t="s">
        <v>80</v>
      </c>
      <c r="E85" s="13">
        <f>SUM(E2:E84)</f>
        <v>52800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5"/>
  <sheetViews>
    <sheetView topLeftCell="A48" zoomScale="80" zoomScaleNormal="55" workbookViewId="0">
      <selection activeCell="C56" sqref="C5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5000/12</f>
        <v>416.66666666666669</v>
      </c>
      <c r="D3">
        <v>12</v>
      </c>
      <c r="E3" s="13">
        <f t="shared" ref="E3:E42" si="0">D3*C3</f>
        <v>5000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12</v>
      </c>
      <c r="E5" s="13">
        <f t="shared" si="0"/>
        <v>7100</v>
      </c>
    </row>
    <row r="6" spans="1:10" x14ac:dyDescent="0.3">
      <c r="A6" s="11" t="s">
        <v>12</v>
      </c>
      <c r="B6" t="s">
        <v>13</v>
      </c>
      <c r="C6" s="12">
        <f>18000/24</f>
        <v>750</v>
      </c>
      <c r="D6">
        <v>24</v>
      </c>
      <c r="E6" s="13">
        <f>D6*C6</f>
        <v>18000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4300/12</f>
        <v>358.33333333333331</v>
      </c>
      <c r="D10">
        <v>12</v>
      </c>
      <c r="E10" s="13">
        <f>D10*C10</f>
        <v>4300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3500/12</f>
        <v>291.66666666666669</v>
      </c>
      <c r="D15">
        <v>12</v>
      </c>
      <c r="E15" s="13">
        <f t="shared" si="0"/>
        <v>3500</v>
      </c>
    </row>
    <row r="16" spans="1:10" x14ac:dyDescent="0.3">
      <c r="A16" s="11" t="s">
        <v>24</v>
      </c>
      <c r="B16" t="s">
        <v>25</v>
      </c>
      <c r="C16" s="12">
        <f>2900/12</f>
        <v>241.66666666666666</v>
      </c>
      <c r="D16">
        <v>12</v>
      </c>
      <c r="E16" s="13">
        <f t="shared" si="0"/>
        <v>2900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2900/12</f>
        <v>241.66666666666666</v>
      </c>
      <c r="D18">
        <v>12</v>
      </c>
      <c r="E18" s="13">
        <f t="shared" si="0"/>
        <v>2900</v>
      </c>
    </row>
    <row r="19" spans="1:5" x14ac:dyDescent="0.3">
      <c r="A19" s="11" t="s">
        <v>30</v>
      </c>
      <c r="B19" t="s">
        <v>31</v>
      </c>
      <c r="C19" s="12">
        <f>3600/12</f>
        <v>300</v>
      </c>
      <c r="D19">
        <v>12</v>
      </c>
      <c r="E19" s="13">
        <f t="shared" si="0"/>
        <v>3600</v>
      </c>
    </row>
    <row r="20" spans="1:5" x14ac:dyDescent="0.3">
      <c r="A20" s="11" t="s">
        <v>32</v>
      </c>
      <c r="B20" t="s">
        <v>33</v>
      </c>
      <c r="C20" s="12">
        <f>1300/12</f>
        <v>108.33333333333333</v>
      </c>
      <c r="D20">
        <v>36</v>
      </c>
      <c r="E20" s="13">
        <f t="shared" si="0"/>
        <v>3900</v>
      </c>
    </row>
    <row r="21" spans="1:5" x14ac:dyDescent="0.3">
      <c r="A21" s="11" t="s">
        <v>34</v>
      </c>
      <c r="B21" t="s">
        <v>35</v>
      </c>
      <c r="C21" s="12">
        <f>3400/12</f>
        <v>283.33333333333331</v>
      </c>
      <c r="D21">
        <v>12</v>
      </c>
      <c r="E21" s="13">
        <f t="shared" si="0"/>
        <v>3400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6300/12</f>
        <v>525</v>
      </c>
      <c r="D24">
        <v>12</v>
      </c>
      <c r="E24" s="13">
        <f t="shared" si="0"/>
        <v>6300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32000</v>
      </c>
      <c r="D28">
        <v>1</v>
      </c>
      <c r="E28" s="13">
        <f t="shared" si="0"/>
        <v>32000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f>2750/20</f>
        <v>137.5</v>
      </c>
      <c r="D38">
        <v>20</v>
      </c>
      <c r="E38" s="13">
        <f t="shared" si="0"/>
        <v>2750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1"/>
        <v>8500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6500/12</f>
        <v>541.66666666666663</v>
      </c>
      <c r="D61">
        <v>12</v>
      </c>
      <c r="E61" s="13">
        <f t="shared" si="1"/>
        <v>6500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f>4750/12</f>
        <v>395.83333333333331</v>
      </c>
      <c r="D70">
        <v>12</v>
      </c>
      <c r="E70" s="13">
        <f t="shared" si="1"/>
        <v>4750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4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109</v>
      </c>
      <c r="C80">
        <f>9000/5</f>
        <v>1800</v>
      </c>
      <c r="D80" s="12">
        <v>5</v>
      </c>
      <c r="E80" s="13">
        <f t="shared" si="2"/>
        <v>9000</v>
      </c>
    </row>
    <row r="81" spans="1:13" x14ac:dyDescent="0.3">
      <c r="A81" s="47" t="s">
        <v>10</v>
      </c>
      <c r="B81" s="14" t="s">
        <v>106</v>
      </c>
      <c r="C81">
        <v>2500</v>
      </c>
      <c r="D81" s="12">
        <v>1</v>
      </c>
      <c r="E81" s="13">
        <f t="shared" si="2"/>
        <v>2500</v>
      </c>
    </row>
    <row r="82" spans="1:13" x14ac:dyDescent="0.3">
      <c r="A82" s="47" t="s">
        <v>12</v>
      </c>
      <c r="B82" s="14" t="s">
        <v>110</v>
      </c>
      <c r="C82">
        <v>200</v>
      </c>
      <c r="D82" s="12">
        <v>1</v>
      </c>
      <c r="E82" s="13">
        <f t="shared" si="2"/>
        <v>200</v>
      </c>
    </row>
    <row r="83" spans="1:13" x14ac:dyDescent="0.3">
      <c r="A83" s="47"/>
      <c r="B83" s="14"/>
      <c r="E83" s="13">
        <f t="shared" si="2"/>
        <v>0</v>
      </c>
    </row>
    <row r="84" spans="1:13" x14ac:dyDescent="0.3">
      <c r="E84" s="13">
        <f t="shared" si="2"/>
        <v>0</v>
      </c>
    </row>
    <row r="85" spans="1:13" x14ac:dyDescent="0.3">
      <c r="B85" t="s">
        <v>80</v>
      </c>
      <c r="E85" s="13">
        <f>SUM(E2:E84)</f>
        <v>127100</v>
      </c>
      <c r="M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4"/>
  <sheetViews>
    <sheetView topLeftCell="A61" zoomScale="89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9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9" x14ac:dyDescent="0.3">
      <c r="A50" s="11"/>
      <c r="C50" s="12"/>
      <c r="D50"/>
      <c r="E50" s="13">
        <f t="shared" si="1"/>
        <v>0</v>
      </c>
    </row>
    <row r="51" spans="1:9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9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9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9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9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9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9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9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9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9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9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9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9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9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  <c r="I64" s="51"/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111</v>
      </c>
      <c r="C80">
        <v>13200</v>
      </c>
      <c r="D80" s="12">
        <v>1</v>
      </c>
      <c r="E80" s="13">
        <f t="shared" si="2"/>
        <v>13200</v>
      </c>
    </row>
    <row r="81" spans="1:5" x14ac:dyDescent="0.3">
      <c r="A81" s="47" t="s">
        <v>10</v>
      </c>
      <c r="B81" s="14" t="s">
        <v>112</v>
      </c>
      <c r="C81">
        <v>6800</v>
      </c>
      <c r="D81" s="12">
        <v>1</v>
      </c>
      <c r="E81" s="13">
        <f t="shared" si="2"/>
        <v>6800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25500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71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4800/12</f>
        <v>400</v>
      </c>
      <c r="D3"/>
      <c r="E3" s="13">
        <f t="shared" ref="E3:E42" si="0">D3*C3</f>
        <v>0</v>
      </c>
    </row>
    <row r="4" spans="1:10" x14ac:dyDescent="0.3">
      <c r="A4" s="11" t="s">
        <v>8</v>
      </c>
      <c r="B4" t="s">
        <v>9</v>
      </c>
      <c r="C4" s="12">
        <f>4700/12</f>
        <v>391.66666666666669</v>
      </c>
      <c r="D4"/>
      <c r="E4" s="13">
        <f t="shared" si="0"/>
        <v>0</v>
      </c>
      <c r="I4" s="51"/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G7" s="43"/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4500/12</f>
        <v>375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291.66666666666669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f>2700/12</f>
        <v>225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2700/12</f>
        <v>225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f>3100/12</f>
        <v>258.33333333333331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83.333333333333329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3300/12</f>
        <v>275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5500/12</f>
        <v>458.33333333333331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24000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f>7500/3</f>
        <v>2500</v>
      </c>
      <c r="D32">
        <v>3</v>
      </c>
      <c r="E32" s="13">
        <f t="shared" si="0"/>
        <v>7500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1"/>
        <v>8500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f>6900/12</f>
        <v>575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113</v>
      </c>
      <c r="C80">
        <v>1200</v>
      </c>
      <c r="D80" s="12">
        <v>1</v>
      </c>
      <c r="E80" s="13">
        <f t="shared" si="2"/>
        <v>1200</v>
      </c>
    </row>
    <row r="81" spans="1:5" x14ac:dyDescent="0.3">
      <c r="A81" s="47" t="s">
        <v>10</v>
      </c>
      <c r="B81" s="14" t="s">
        <v>103</v>
      </c>
      <c r="C81">
        <v>1000</v>
      </c>
      <c r="D81" s="12">
        <v>1</v>
      </c>
      <c r="E81" s="13">
        <f t="shared" si="2"/>
        <v>1000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A83" s="47"/>
      <c r="E83" s="13">
        <f t="shared" si="2"/>
        <v>0</v>
      </c>
    </row>
    <row r="84" spans="1:5" x14ac:dyDescent="0.3">
      <c r="B84" t="s">
        <v>80</v>
      </c>
      <c r="E84" s="13">
        <f>SUM(E2:E83)</f>
        <v>18200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90"/>
  <sheetViews>
    <sheetView topLeftCell="A46" workbookViewId="0">
      <selection activeCell="B90" sqref="B9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5000/12</f>
        <v>416.66666666666669</v>
      </c>
      <c r="D3">
        <v>24</v>
      </c>
      <c r="E3" s="13">
        <f t="shared" ref="E3:E42" si="0">D3*C3</f>
        <v>10000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14800/24</f>
        <v>616.66666666666663</v>
      </c>
      <c r="D5">
        <v>24</v>
      </c>
      <c r="E5" s="13">
        <f t="shared" si="0"/>
        <v>14800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8600/24</f>
        <v>358.33333333333331</v>
      </c>
      <c r="D10">
        <v>24</v>
      </c>
      <c r="E10" s="13">
        <f>D10*C10</f>
        <v>8600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6000/5</f>
        <v>1200</v>
      </c>
      <c r="D14">
        <v>5</v>
      </c>
      <c r="E14" s="13">
        <f t="shared" si="0"/>
        <v>6000</v>
      </c>
    </row>
    <row r="15" spans="1:10" x14ac:dyDescent="0.3">
      <c r="A15" s="11" t="s">
        <v>22</v>
      </c>
      <c r="B15" t="s">
        <v>23</v>
      </c>
      <c r="C15" s="12">
        <f>7000/24</f>
        <v>291.66666666666669</v>
      </c>
      <c r="D15">
        <v>24</v>
      </c>
      <c r="E15" s="13">
        <f t="shared" si="0"/>
        <v>7000</v>
      </c>
    </row>
    <row r="16" spans="1:10" x14ac:dyDescent="0.3">
      <c r="A16" s="11" t="s">
        <v>24</v>
      </c>
      <c r="B16" t="s">
        <v>25</v>
      </c>
      <c r="C16" s="12">
        <f>5800/24</f>
        <v>241.66666666666666</v>
      </c>
      <c r="D16">
        <v>24</v>
      </c>
      <c r="E16" s="13">
        <f t="shared" si="0"/>
        <v>5800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f>7200/24</f>
        <v>300</v>
      </c>
      <c r="D19">
        <v>24</v>
      </c>
      <c r="E19" s="13">
        <f t="shared" si="0"/>
        <v>7200</v>
      </c>
    </row>
    <row r="20" spans="1:5" x14ac:dyDescent="0.3">
      <c r="A20" s="11" t="s">
        <v>32</v>
      </c>
      <c r="B20" t="s">
        <v>33</v>
      </c>
      <c r="C20" s="12">
        <f>6000/60</f>
        <v>100</v>
      </c>
      <c r="D20">
        <v>60</v>
      </c>
      <c r="E20" s="13">
        <f t="shared" si="0"/>
        <v>6000</v>
      </c>
    </row>
    <row r="21" spans="1:5" x14ac:dyDescent="0.3">
      <c r="A21" s="11" t="s">
        <v>34</v>
      </c>
      <c r="B21" t="s">
        <v>35</v>
      </c>
      <c r="C21" s="12">
        <f>7200/24</f>
        <v>300</v>
      </c>
      <c r="D21">
        <v>24</v>
      </c>
      <c r="E21" s="13">
        <f t="shared" si="0"/>
        <v>7200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6300/24</f>
        <v>262.5</v>
      </c>
      <c r="D24">
        <v>24</v>
      </c>
      <c r="E24" s="13">
        <f t="shared" si="0"/>
        <v>6300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26000</v>
      </c>
      <c r="D29">
        <v>1</v>
      </c>
      <c r="E29" s="13">
        <f t="shared" si="0"/>
        <v>26000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105</v>
      </c>
      <c r="C32" s="12">
        <v>2000</v>
      </c>
      <c r="D32">
        <v>5</v>
      </c>
      <c r="E32" s="13">
        <f t="shared" si="0"/>
        <v>10000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6500/12</f>
        <v>541.66666666666663</v>
      </c>
      <c r="D61">
        <v>24</v>
      </c>
      <c r="E61" s="13">
        <f t="shared" si="1"/>
        <v>13000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9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/>
      <c r="B80" s="14" t="s">
        <v>114</v>
      </c>
      <c r="C80">
        <v>350</v>
      </c>
      <c r="D80" s="12">
        <v>1</v>
      </c>
      <c r="E80" s="13">
        <f t="shared" si="2"/>
        <v>350</v>
      </c>
    </row>
    <row r="81" spans="1:5" x14ac:dyDescent="0.3">
      <c r="A81" s="47"/>
      <c r="B81" s="14" t="s">
        <v>106</v>
      </c>
      <c r="C81">
        <v>2500</v>
      </c>
      <c r="D81" s="12">
        <v>1</v>
      </c>
      <c r="E81" s="13">
        <f t="shared" si="2"/>
        <v>2500</v>
      </c>
    </row>
    <row r="82" spans="1:5" x14ac:dyDescent="0.3">
      <c r="A82" s="47"/>
      <c r="B82" s="14" t="s">
        <v>115</v>
      </c>
      <c r="C82">
        <v>1000</v>
      </c>
      <c r="D82" s="12">
        <v>1</v>
      </c>
      <c r="E82" s="13">
        <f t="shared" si="2"/>
        <v>1000</v>
      </c>
    </row>
    <row r="83" spans="1:5" x14ac:dyDescent="0.3">
      <c r="A83" s="47"/>
      <c r="B83" s="14" t="s">
        <v>116</v>
      </c>
      <c r="C83">
        <f>27000/20</f>
        <v>1350</v>
      </c>
      <c r="D83" s="12">
        <v>20</v>
      </c>
      <c r="E83" s="13">
        <f t="shared" si="2"/>
        <v>27000</v>
      </c>
    </row>
    <row r="84" spans="1:5" x14ac:dyDescent="0.3">
      <c r="A84" s="47"/>
      <c r="B84" s="14" t="s">
        <v>117</v>
      </c>
      <c r="C84">
        <v>5500</v>
      </c>
      <c r="D84" s="12">
        <v>1</v>
      </c>
      <c r="E84" s="13">
        <f t="shared" si="2"/>
        <v>5500</v>
      </c>
    </row>
    <row r="85" spans="1:5" x14ac:dyDescent="0.3">
      <c r="A85" s="47"/>
      <c r="B85" s="14" t="s">
        <v>118</v>
      </c>
      <c r="C85">
        <v>200</v>
      </c>
      <c r="D85" s="12">
        <v>1</v>
      </c>
      <c r="E85" s="13">
        <f t="shared" si="2"/>
        <v>200</v>
      </c>
    </row>
    <row r="86" spans="1:5" x14ac:dyDescent="0.3">
      <c r="A86" s="47"/>
      <c r="B86" s="14" t="s">
        <v>119</v>
      </c>
      <c r="C86">
        <v>300</v>
      </c>
      <c r="D86" s="12">
        <v>1</v>
      </c>
      <c r="E86" s="13">
        <f t="shared" si="2"/>
        <v>300</v>
      </c>
    </row>
    <row r="87" spans="1:5" x14ac:dyDescent="0.3">
      <c r="A87" s="47"/>
      <c r="B87" s="14" t="s">
        <v>120</v>
      </c>
      <c r="C87">
        <v>1350</v>
      </c>
      <c r="D87" s="12">
        <v>12</v>
      </c>
      <c r="E87" s="13">
        <f t="shared" si="2"/>
        <v>16200</v>
      </c>
    </row>
    <row r="88" spans="1:5" x14ac:dyDescent="0.3">
      <c r="A88" s="47"/>
      <c r="B88" s="14" t="s">
        <v>121</v>
      </c>
      <c r="C88">
        <v>1000</v>
      </c>
      <c r="D88" s="12">
        <v>1</v>
      </c>
      <c r="E88" s="13">
        <f t="shared" si="2"/>
        <v>1000</v>
      </c>
    </row>
    <row r="89" spans="1:5" x14ac:dyDescent="0.3">
      <c r="E89" s="13">
        <f t="shared" si="2"/>
        <v>0</v>
      </c>
    </row>
    <row r="90" spans="1:5" x14ac:dyDescent="0.3">
      <c r="B90" t="s">
        <v>80</v>
      </c>
      <c r="E90" s="13">
        <f>SUM(E2:E89)</f>
        <v>187450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97"/>
  <sheetViews>
    <sheetView topLeftCell="A66" workbookViewId="0">
      <selection activeCell="B65" sqref="B6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f>12000/10</f>
        <v>1200</v>
      </c>
      <c r="D14">
        <v>10</v>
      </c>
      <c r="E14" s="13">
        <f t="shared" si="0"/>
        <v>12000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19500</v>
      </c>
      <c r="D28">
        <v>1</v>
      </c>
      <c r="E28" s="13">
        <f t="shared" si="0"/>
        <v>19500</v>
      </c>
      <c r="M28" s="33"/>
    </row>
    <row r="29" spans="1:13" x14ac:dyDescent="0.3">
      <c r="A29" s="11" t="s">
        <v>8</v>
      </c>
      <c r="B29" t="s">
        <v>38</v>
      </c>
      <c r="C29" s="12">
        <v>26500</v>
      </c>
      <c r="D29">
        <v>1</v>
      </c>
      <c r="E29" s="13">
        <f t="shared" si="0"/>
        <v>26500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6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f>6100/12</f>
        <v>508.33333333333331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A80" s="47" t="s">
        <v>8</v>
      </c>
      <c r="B80" s="14" t="s">
        <v>106</v>
      </c>
      <c r="C80">
        <v>2000</v>
      </c>
      <c r="D80" s="12">
        <v>1</v>
      </c>
      <c r="E80" s="13">
        <f t="shared" si="1"/>
        <v>2000</v>
      </c>
      <c r="M80" s="33"/>
    </row>
    <row r="81" spans="1:13" x14ac:dyDescent="0.3">
      <c r="A81" s="47" t="s">
        <v>10</v>
      </c>
      <c r="B81" s="14" t="s">
        <v>122</v>
      </c>
      <c r="C81">
        <v>1300</v>
      </c>
      <c r="D81" s="12">
        <v>1</v>
      </c>
      <c r="E81" s="13">
        <f t="shared" si="1"/>
        <v>1300</v>
      </c>
      <c r="M81" s="33"/>
    </row>
    <row r="82" spans="1:13" x14ac:dyDescent="0.3">
      <c r="A82" s="47" t="s">
        <v>12</v>
      </c>
      <c r="B82" s="14" t="s">
        <v>123</v>
      </c>
      <c r="C82">
        <f>1000/9</f>
        <v>111.11111111111111</v>
      </c>
      <c r="D82" s="12">
        <v>9</v>
      </c>
      <c r="E82" s="13">
        <f t="shared" si="1"/>
        <v>1000</v>
      </c>
      <c r="M82" s="33"/>
    </row>
    <row r="83" spans="1:13" x14ac:dyDescent="0.3">
      <c r="A83" s="47" t="s">
        <v>14</v>
      </c>
      <c r="B83" s="14" t="s">
        <v>124</v>
      </c>
      <c r="C83">
        <v>2000</v>
      </c>
      <c r="D83" s="12">
        <v>1</v>
      </c>
      <c r="E83" s="13">
        <f t="shared" si="1"/>
        <v>2000</v>
      </c>
      <c r="M83" s="33"/>
    </row>
    <row r="84" spans="1:13" x14ac:dyDescent="0.3">
      <c r="A84" s="47" t="s">
        <v>22</v>
      </c>
      <c r="B84" s="14" t="s">
        <v>121</v>
      </c>
      <c r="C84">
        <v>500</v>
      </c>
      <c r="D84" s="12">
        <v>1</v>
      </c>
      <c r="E84" s="13">
        <f t="shared" si="1"/>
        <v>500</v>
      </c>
      <c r="M84" s="33"/>
    </row>
    <row r="85" spans="1:13" x14ac:dyDescent="0.3">
      <c r="A85" s="47" t="s">
        <v>24</v>
      </c>
      <c r="B85" s="14" t="s">
        <v>124</v>
      </c>
      <c r="C85">
        <v>2000</v>
      </c>
      <c r="D85" s="12">
        <v>1</v>
      </c>
      <c r="E85" s="13">
        <f t="shared" si="1"/>
        <v>2000</v>
      </c>
      <c r="M85" s="33"/>
    </row>
    <row r="86" spans="1:13" x14ac:dyDescent="0.3">
      <c r="E86" s="13">
        <f t="shared" si="1"/>
        <v>0</v>
      </c>
      <c r="M86" s="33"/>
    </row>
    <row r="87" spans="1:13" x14ac:dyDescent="0.3">
      <c r="B87" t="s">
        <v>80</v>
      </c>
      <c r="E87" s="13">
        <f>SUM(E2:E86)</f>
        <v>72300</v>
      </c>
    </row>
    <row r="93" spans="1:13" x14ac:dyDescent="0.3">
      <c r="H93" s="43"/>
      <c r="K93" s="51"/>
    </row>
    <row r="95" spans="1:13" x14ac:dyDescent="0.3">
      <c r="K95" s="51"/>
    </row>
    <row r="97" spans="11:11" x14ac:dyDescent="0.3">
      <c r="K97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Expence-22</vt:lpstr>
      <vt:lpstr>Expence-23</vt:lpstr>
      <vt:lpstr>Expence-24</vt:lpstr>
      <vt:lpstr>Expence-25</vt:lpstr>
      <vt:lpstr>Expence-26</vt:lpstr>
      <vt:lpstr>Expence-27</vt:lpstr>
      <vt:lpstr>Expence-28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2024-03-17T13:13:01Z</dcterms:modified>
</cp:coreProperties>
</file>
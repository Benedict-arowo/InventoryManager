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DA153E96-85CE-4FB6-A721-FC4E2E872A4E}" xr6:coauthVersionLast="47" xr6:coauthVersionMax="47" xr10:uidLastSave="{00000000-0000-0000-0000-000000000000}"/>
  <bookViews>
    <workbookView xWindow="11424" yWindow="0" windowWidth="11712" windowHeight="12336" tabRatio="658" firstSheet="5" activeTab="7" xr2:uid="{00000000-000D-0000-FFFF-FFFF00000000}"/>
  </bookViews>
  <sheets>
    <sheet name="Summary" sheetId="8" r:id="rId1"/>
    <sheet name="Expence-15" sheetId="1" r:id="rId2"/>
    <sheet name="Expence-16" sheetId="2" r:id="rId3"/>
    <sheet name="Expence-17" sheetId="3" r:id="rId4"/>
    <sheet name="Expence-18" sheetId="4" r:id="rId5"/>
    <sheet name="Expence-19" sheetId="5" r:id="rId6"/>
    <sheet name="Expence-20" sheetId="6" r:id="rId7"/>
    <sheet name="Expence-21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0" i="3" l="1"/>
  <c r="C61" i="7" l="1"/>
  <c r="C6" i="7"/>
  <c r="E84" i="6"/>
  <c r="E82" i="6"/>
  <c r="E83" i="6"/>
  <c r="C81" i="6"/>
  <c r="C20" i="6"/>
  <c r="C10" i="6"/>
  <c r="C22" i="6"/>
  <c r="E81" i="5"/>
  <c r="E82" i="5"/>
  <c r="E83" i="5"/>
  <c r="E84" i="5"/>
  <c r="E85" i="5"/>
  <c r="C70" i="5"/>
  <c r="C61" i="5"/>
  <c r="C66" i="5"/>
  <c r="C14" i="5"/>
  <c r="C16" i="5"/>
  <c r="C4" i="5"/>
  <c r="E80" i="4"/>
  <c r="E81" i="4"/>
  <c r="E82" i="4"/>
  <c r="E83" i="4"/>
  <c r="E84" i="4"/>
  <c r="E85" i="4"/>
  <c r="E86" i="4"/>
  <c r="E87" i="4"/>
  <c r="C32" i="4"/>
  <c r="C37" i="4"/>
  <c r="C69" i="3"/>
  <c r="C61" i="3"/>
  <c r="C20" i="3"/>
  <c r="C19" i="3"/>
  <c r="C21" i="3"/>
  <c r="C10" i="3"/>
  <c r="C18" i="3"/>
  <c r="C16" i="3"/>
  <c r="C6" i="3"/>
  <c r="C5" i="3"/>
  <c r="C3" i="3"/>
  <c r="C4" i="3"/>
  <c r="E81" i="2"/>
  <c r="E82" i="2"/>
  <c r="E83" i="2"/>
  <c r="E84" i="2"/>
  <c r="E85" i="2"/>
  <c r="E80" i="2"/>
  <c r="E88" i="1"/>
  <c r="E80" i="1"/>
  <c r="E78" i="1"/>
  <c r="E79" i="1"/>
  <c r="E81" i="1"/>
  <c r="E82" i="1"/>
  <c r="E83" i="1"/>
  <c r="E84" i="1"/>
  <c r="E85" i="1"/>
  <c r="C80" i="1"/>
  <c r="E80" i="7"/>
  <c r="E81" i="7"/>
  <c r="E83" i="7"/>
  <c r="E80" i="6" l="1"/>
  <c r="E86" i="6"/>
  <c r="E85" i="6"/>
  <c r="E81" i="6"/>
  <c r="E88" i="5"/>
  <c r="E87" i="5"/>
  <c r="E86" i="5"/>
  <c r="E80" i="5"/>
  <c r="C6" i="5"/>
  <c r="C19" i="5"/>
  <c r="C10" i="5"/>
  <c r="E25" i="5"/>
  <c r="G25" i="8" s="1"/>
  <c r="C24" i="5"/>
  <c r="E24" i="5" s="1"/>
  <c r="G24" i="8" s="1"/>
  <c r="C18" i="5"/>
  <c r="C21" i="5"/>
  <c r="C69" i="5"/>
  <c r="C5" i="5"/>
  <c r="C3" i="5"/>
  <c r="E88" i="4"/>
  <c r="E86" i="1"/>
  <c r="E87" i="1"/>
  <c r="J80" i="8"/>
  <c r="J81" i="8"/>
  <c r="J82" i="8"/>
  <c r="I72" i="8"/>
  <c r="H72" i="8"/>
  <c r="H77" i="8"/>
  <c r="G72" i="8"/>
  <c r="G77" i="8"/>
  <c r="F72" i="8"/>
  <c r="F77" i="8"/>
  <c r="E72" i="8"/>
  <c r="E77" i="8"/>
  <c r="D77" i="8"/>
  <c r="C72" i="8"/>
  <c r="C77" i="8"/>
  <c r="E72" i="3"/>
  <c r="E72" i="2"/>
  <c r="D72" i="8" s="1"/>
  <c r="C42" i="1"/>
  <c r="I22" i="8"/>
  <c r="I23" i="8"/>
  <c r="I24" i="8"/>
  <c r="I25" i="8"/>
  <c r="F25" i="8"/>
  <c r="E23" i="8"/>
  <c r="E24" i="8"/>
  <c r="E79" i="6"/>
  <c r="H79" i="8" s="1"/>
  <c r="E78" i="6"/>
  <c r="H78" i="8" s="1"/>
  <c r="E79" i="5"/>
  <c r="G79" i="8" s="1"/>
  <c r="E78" i="5"/>
  <c r="G78" i="8" s="1"/>
  <c r="E79" i="4"/>
  <c r="F79" i="8" s="1"/>
  <c r="E78" i="4"/>
  <c r="F78" i="8" s="1"/>
  <c r="E79" i="3"/>
  <c r="E79" i="8" s="1"/>
  <c r="E78" i="3"/>
  <c r="E78" i="8" s="1"/>
  <c r="E79" i="2"/>
  <c r="D79" i="8" s="1"/>
  <c r="E78" i="2"/>
  <c r="D78" i="8" s="1"/>
  <c r="C79" i="8"/>
  <c r="C78" i="8"/>
  <c r="E38" i="1"/>
  <c r="C38" i="8" s="1"/>
  <c r="E38" i="2"/>
  <c r="D38" i="8" s="1"/>
  <c r="E38" i="3"/>
  <c r="E38" i="8" s="1"/>
  <c r="E38" i="4"/>
  <c r="F38" i="8" s="1"/>
  <c r="E38" i="5"/>
  <c r="G38" i="8" s="1"/>
  <c r="E38" i="6"/>
  <c r="H38" i="8" s="1"/>
  <c r="E82" i="7"/>
  <c r="E79" i="7"/>
  <c r="I79" i="8" s="1"/>
  <c r="E77" i="7"/>
  <c r="I77" i="8" s="1"/>
  <c r="E78" i="7"/>
  <c r="I78" i="8" s="1"/>
  <c r="E38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6" i="1"/>
  <c r="C26" i="8" s="1"/>
  <c r="E24" i="4"/>
  <c r="F24" i="8" s="1"/>
  <c r="E25" i="3"/>
  <c r="E25" i="8" s="1"/>
  <c r="E22" i="2"/>
  <c r="D22" i="8" s="1"/>
  <c r="C58" i="1"/>
  <c r="E22" i="5"/>
  <c r="G22" i="8" s="1"/>
  <c r="E23" i="4"/>
  <c r="F23" i="8" s="1"/>
  <c r="E22" i="4"/>
  <c r="F22" i="8" s="1"/>
  <c r="E35" i="1"/>
  <c r="C35" i="8" s="1"/>
  <c r="E22" i="1"/>
  <c r="C22" i="8" s="1"/>
  <c r="E35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4" i="2"/>
  <c r="D74" i="8" s="1"/>
  <c r="E75" i="2"/>
  <c r="D75" i="8" s="1"/>
  <c r="E76" i="2"/>
  <c r="D76" i="8" s="1"/>
  <c r="E3" i="2"/>
  <c r="E37" i="6"/>
  <c r="H37" i="8" s="1"/>
  <c r="E36" i="6"/>
  <c r="H36" i="8" s="1"/>
  <c r="E37" i="5"/>
  <c r="G37" i="8" s="1"/>
  <c r="E36" i="5"/>
  <c r="G36" i="8" s="1"/>
  <c r="E37" i="4"/>
  <c r="F37" i="8" s="1"/>
  <c r="E36" i="4"/>
  <c r="F36" i="8" s="1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D52" i="8" l="1"/>
  <c r="E86" i="2"/>
  <c r="D3" i="8"/>
  <c r="D83" i="8" s="1"/>
  <c r="E76" i="7" l="1"/>
  <c r="I76" i="8" s="1"/>
  <c r="E75" i="7"/>
  <c r="I75" i="8" s="1"/>
  <c r="E74" i="7"/>
  <c r="I74" i="8" s="1"/>
  <c r="E73" i="7"/>
  <c r="I73" i="8" s="1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I52" i="8" s="1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J37" i="8" s="1"/>
  <c r="E36" i="7"/>
  <c r="I36" i="8" s="1"/>
  <c r="J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61" i="8" l="1"/>
  <c r="I83" i="8" s="1"/>
  <c r="E84" i="7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E87" i="6" l="1"/>
  <c r="H83" i="8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76" i="5"/>
  <c r="G76" i="8" s="1"/>
  <c r="E75" i="5"/>
  <c r="G75" i="8" s="1"/>
  <c r="E74" i="5"/>
  <c r="G74" i="8" s="1"/>
  <c r="E73" i="5"/>
  <c r="G73" i="8" s="1"/>
  <c r="E71" i="5"/>
  <c r="G71" i="8" s="1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G52" i="8" s="1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9" i="5"/>
  <c r="E76" i="4"/>
  <c r="F76" i="8" s="1"/>
  <c r="E75" i="4"/>
  <c r="F75" i="8" s="1"/>
  <c r="E74" i="4"/>
  <c r="F74" i="8" s="1"/>
  <c r="E73" i="4"/>
  <c r="F73" i="8" s="1"/>
  <c r="E71" i="4"/>
  <c r="F71" i="8" s="1"/>
  <c r="J71" i="8" s="1"/>
  <c r="E70" i="4"/>
  <c r="F70" i="8" s="1"/>
  <c r="J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F52" i="8" s="1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J44" i="8" l="1"/>
  <c r="J39" i="8"/>
  <c r="J40" i="8"/>
  <c r="J56" i="8"/>
  <c r="J64" i="8"/>
  <c r="J68" i="8"/>
  <c r="J48" i="8"/>
  <c r="J41" i="8"/>
  <c r="J57" i="8"/>
  <c r="J50" i="8"/>
  <c r="J66" i="8"/>
  <c r="J75" i="8"/>
  <c r="J59" i="8"/>
  <c r="J76" i="8"/>
  <c r="E89" i="4"/>
  <c r="E76" i="3"/>
  <c r="E76" i="8" s="1"/>
  <c r="E75" i="3"/>
  <c r="E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E67" i="3"/>
  <c r="E67" i="8" s="1"/>
  <c r="J67" i="8" s="1"/>
  <c r="E66" i="3"/>
  <c r="E66" i="8" s="1"/>
  <c r="E65" i="3"/>
  <c r="E65" i="8" s="1"/>
  <c r="J65" i="8" s="1"/>
  <c r="E64" i="3"/>
  <c r="E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E58" i="3"/>
  <c r="E58" i="8" s="1"/>
  <c r="J58" i="8" s="1"/>
  <c r="E57" i="3"/>
  <c r="E57" i="8" s="1"/>
  <c r="E56" i="3"/>
  <c r="E56" i="8" s="1"/>
  <c r="E55" i="3"/>
  <c r="E55" i="8" s="1"/>
  <c r="J55" i="8" s="1"/>
  <c r="E54" i="3"/>
  <c r="E54" i="8" s="1"/>
  <c r="J54" i="8" s="1"/>
  <c r="E53" i="3"/>
  <c r="E53" i="8" s="1"/>
  <c r="J53" i="8" s="1"/>
  <c r="E52" i="3"/>
  <c r="E52" i="8" s="1"/>
  <c r="J52" i="8" s="1"/>
  <c r="E51" i="3"/>
  <c r="E51" i="8" s="1"/>
  <c r="J51" i="8" s="1"/>
  <c r="E50" i="3"/>
  <c r="E50" i="8" s="1"/>
  <c r="E49" i="3"/>
  <c r="E49" i="8" s="1"/>
  <c r="J49" i="8" s="1"/>
  <c r="E48" i="3"/>
  <c r="E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E43" i="3"/>
  <c r="E43" i="8" s="1"/>
  <c r="J43" i="8" s="1"/>
  <c r="E42" i="3"/>
  <c r="E42" i="8" s="1"/>
  <c r="J42" i="8" s="1"/>
  <c r="E41" i="3"/>
  <c r="E41" i="8" s="1"/>
  <c r="E40" i="3"/>
  <c r="E40" i="8" s="1"/>
  <c r="E39" i="3"/>
  <c r="E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2" i="3"/>
  <c r="E3" i="8"/>
  <c r="J3" i="8" l="1"/>
  <c r="E83" i="8"/>
  <c r="J83" i="8" s="1"/>
</calcChain>
</file>

<file path=xl/sharedStrings.xml><?xml version="1.0" encoding="utf-8"?>
<sst xmlns="http://schemas.openxmlformats.org/spreadsheetml/2006/main" count="1179" uniqueCount="122">
  <si>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</si>
  <si>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</si>
  <si>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</si>
  <si>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</si>
  <si>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</si>
  <si>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</si>
  <si>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</si>
  <si>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</si>
  <si>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</si>
  <si>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</si>
  <si>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</si>
  <si>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</si>
  <si>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</si>
  <si>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</si>
  <si>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</si>
  <si>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</si>
  <si>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</si>
  <si>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</si>
  <si>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</si>
  <si>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</si>
  <si>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</si>
  <si>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</si>
  <si>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</si>
  <si>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</si>
  <si>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</si>
  <si>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</si>
  <si>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</si>
  <si>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</si>
  <si>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</si>
  <si>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</si>
  <si>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</si>
  <si>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</si>
  <si>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</si>
  <si>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</si>
  <si>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</si>
  <si>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</si>
  <si>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</si>
  <si>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</si>
  <si>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</si>
  <si>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</si>
  <si>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</si>
  <si>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</si>
  <si>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</si>
  <si>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</si>
  <si>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</si>
  <si>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</si>
  <si>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</si>
  <si>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</si>
  <si>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</si>
  <si>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</si>
  <si>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</si>
  <si>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</si>
  <si>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</si>
  <si>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</si>
  <si>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</si>
  <si>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</si>
  <si>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</si>
  <si>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</si>
  <si>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</si>
  <si>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</si>
  <si>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</si>
  <si>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</si>
  <si>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</si>
  <si>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</si>
  <si>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</si>
  <si>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</si>
  <si>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</si>
  <si>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</si>
  <si>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</si>
  <si>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</si>
  <si>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</si>
  <si>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</si>
  <si>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</si>
  <si>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</si>
  <si>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</si>
  <si>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</si>
  <si>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</si>
  <si>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</si>
  <si>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</si>
  <si>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</si>
  <si>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</si>
  <si>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</si>
  <si>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</si>
  <si>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</si>
  <si>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</si>
  <si>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</si>
  <si>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</si>
  <si>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</si>
  <si>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</si>
  <si>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</si>
  <si>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</si>
  <si>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</si>
  <si>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</si>
  <si>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</si>
  <si>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</si>
  <si>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</si>
  <si>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</si>
  <si>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</si>
  <si>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</si>
  <si>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</si>
  <si>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Vegetable Oil</t>
  </si>
  <si>
    <t>Pepper</t>
  </si>
  <si>
    <t>Onion</t>
  </si>
  <si>
    <t>Car Petrol</t>
  </si>
  <si>
    <t>Transport to O'pupa</t>
  </si>
  <si>
    <t>Bush meat</t>
  </si>
  <si>
    <t>Liquid Soap</t>
  </si>
  <si>
    <t>POS</t>
  </si>
  <si>
    <t>Fish</t>
  </si>
  <si>
    <t>Maggi</t>
  </si>
  <si>
    <t>Iru</t>
  </si>
  <si>
    <t>Bako bag</t>
  </si>
  <si>
    <t>Soda</t>
  </si>
  <si>
    <t>Car petrol</t>
  </si>
  <si>
    <t>Toothpick</t>
  </si>
  <si>
    <t>Charcoal</t>
  </si>
  <si>
    <t>Salt</t>
  </si>
  <si>
    <t>Bike</t>
  </si>
  <si>
    <t>Servet</t>
  </si>
  <si>
    <t>Cups</t>
  </si>
  <si>
    <t>Pen</t>
  </si>
  <si>
    <t>Knife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</si>
</sst>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3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23" zoomScale="77" zoomScaleNormal="100" zoomScaleSheetLayoutView="106" workbookViewId="0">
      <selection activeCell="E73" sqref="E73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'Expence-15'!E3</f>
        <v>0</v>
      </c>
      <c r="D3" s="36">
        <f>'Expence-16'!E3</f>
        <v>0</v>
      </c>
      <c r="E3" s="36">
        <f>'Expence-17'!E3</f>
        <v>5000</v>
      </c>
      <c r="F3" s="36">
        <f>'Expence-18'!E3</f>
        <v>0</v>
      </c>
      <c r="G3" s="36">
        <f>'Expence-19'!E3</f>
        <v>0</v>
      </c>
      <c r="H3" s="36">
        <f>'Expence-20'!E3</f>
        <v>0</v>
      </c>
      <c r="I3" s="36">
        <f>'Expence-21'!E3</f>
        <v>0</v>
      </c>
      <c r="J3" s="34">
        <f>SUM(C3:I3)</f>
        <v>5000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'Expence-15'!E4</f>
        <v>0</v>
      </c>
      <c r="D4" s="36">
        <f>'Expence-16'!E4</f>
        <v>0</v>
      </c>
      <c r="E4" s="36">
        <f>'Expence-17'!E4</f>
        <v>5100</v>
      </c>
      <c r="F4" s="36">
        <f>'Expence-18'!E4</f>
        <v>0</v>
      </c>
      <c r="G4" s="36">
        <f>'Expence-19'!E4</f>
        <v>5100</v>
      </c>
      <c r="H4" s="36">
        <f>'Expence-20'!E4</f>
        <v>0</v>
      </c>
      <c r="I4" s="36">
        <f>'Expence-21'!E4</f>
        <v>0</v>
      </c>
      <c r="J4" s="34">
        <f t="shared" ref="J4:J67" si="0">SUM(C4:I4)</f>
        <v>10200</v>
      </c>
    </row>
    <row r="5" spans="1:15" ht="15" thickBot="1" x14ac:dyDescent="0.35">
      <c r="A5" s="26" t="s">
        <v>10</v>
      </c>
      <c r="B5" s="27" t="s">
        <v>11</v>
      </c>
      <c r="C5" s="36">
        <f>'Expence-15'!E5</f>
        <v>0</v>
      </c>
      <c r="D5" s="36">
        <f>'Expence-16'!E5</f>
        <v>0</v>
      </c>
      <c r="E5" s="36">
        <f>'Expence-17'!E5</f>
        <v>7100</v>
      </c>
      <c r="F5" s="36">
        <f>'Expence-18'!E5</f>
        <v>0</v>
      </c>
      <c r="G5" s="36">
        <f>'Expence-19'!E5</f>
        <v>0</v>
      </c>
      <c r="H5" s="36">
        <f>'Expence-20'!E5</f>
        <v>0</v>
      </c>
      <c r="I5" s="36">
        <f>'Expence-21'!E5</f>
        <v>0</v>
      </c>
      <c r="J5" s="34">
        <f t="shared" si="0"/>
        <v>7100</v>
      </c>
    </row>
    <row r="6" spans="1:15" ht="15" thickBot="1" x14ac:dyDescent="0.35">
      <c r="A6" s="26" t="s">
        <v>12</v>
      </c>
      <c r="B6" s="27" t="s">
        <v>13</v>
      </c>
      <c r="C6" s="36">
        <f>'Expence-15'!E6</f>
        <v>0</v>
      </c>
      <c r="D6" s="36">
        <f>'Expence-16'!E6</f>
        <v>0</v>
      </c>
      <c r="E6" s="36">
        <f>'Expence-17'!E6</f>
        <v>9000</v>
      </c>
      <c r="F6" s="36">
        <f>'Expence-18'!E6</f>
        <v>0</v>
      </c>
      <c r="G6" s="36">
        <f>'Expence-19'!E6</f>
        <v>0</v>
      </c>
      <c r="H6" s="36">
        <f>'Expence-20'!E6</f>
        <v>0</v>
      </c>
      <c r="I6" s="36">
        <f>'Expence-21'!E6</f>
        <v>9000</v>
      </c>
      <c r="J6" s="34">
        <f t="shared" si="0"/>
        <v>18000</v>
      </c>
    </row>
    <row r="7" spans="1:15" ht="15" thickBot="1" x14ac:dyDescent="0.35">
      <c r="A7" s="26" t="s">
        <v>14</v>
      </c>
      <c r="B7" s="27" t="s">
        <v>15</v>
      </c>
      <c r="C7" s="36">
        <f>'Expence-15'!E7</f>
        <v>0</v>
      </c>
      <c r="D7" s="36">
        <f>'Expence-16'!E7</f>
        <v>0</v>
      </c>
      <c r="E7" s="36">
        <f>'Expence-17'!E7</f>
        <v>0</v>
      </c>
      <c r="F7" s="36">
        <f>'Expence-18'!E7</f>
        <v>0</v>
      </c>
      <c r="G7" s="36">
        <f>'Expence-19'!E7</f>
        <v>0</v>
      </c>
      <c r="H7" s="36">
        <f>'Expence-20'!E7</f>
        <v>0</v>
      </c>
      <c r="I7" s="36">
        <f>'Expence-21'!E7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'Expence-15'!E8</f>
        <v>0</v>
      </c>
      <c r="D8" s="36">
        <f>'Expence-16'!E8</f>
        <v>0</v>
      </c>
      <c r="E8" s="36">
        <f>'Expence-17'!E8</f>
        <v>0</v>
      </c>
      <c r="F8" s="36">
        <f>'Expence-18'!E8</f>
        <v>0</v>
      </c>
      <c r="G8" s="36">
        <f>'Expence-19'!E8</f>
        <v>0</v>
      </c>
      <c r="H8" s="36">
        <f>'Expence-20'!E8</f>
        <v>0</v>
      </c>
      <c r="I8" s="36">
        <f>'Expence-21'!E8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'Expence-15'!E9</f>
        <v>0</v>
      </c>
      <c r="D9" s="36">
        <f>'Expence-16'!E9</f>
        <v>0</v>
      </c>
      <c r="E9" s="36">
        <f>'Expence-17'!E9</f>
        <v>0</v>
      </c>
      <c r="F9" s="36">
        <f>'Expence-18'!E9</f>
        <v>0</v>
      </c>
      <c r="G9" s="36">
        <f>'Expence-19'!E9</f>
        <v>0</v>
      </c>
      <c r="H9" s="36">
        <f>'Expence-20'!E9</f>
        <v>0</v>
      </c>
      <c r="I9" s="36">
        <f>'Expence-21'!E9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'Expence-15'!E10</f>
        <v>0</v>
      </c>
      <c r="D10" s="36">
        <f>'Expence-16'!E10</f>
        <v>0</v>
      </c>
      <c r="E10" s="36">
        <f>'Expence-17'!E10</f>
        <v>4200</v>
      </c>
      <c r="F10" s="36">
        <f>'Expence-18'!E10</f>
        <v>0</v>
      </c>
      <c r="G10" s="36">
        <f>'Expence-19'!E10</f>
        <v>0</v>
      </c>
      <c r="H10" s="36">
        <f>'Expence-20'!E10</f>
        <v>4200</v>
      </c>
      <c r="I10" s="36">
        <f>'Expence-21'!E10</f>
        <v>0</v>
      </c>
      <c r="J10" s="34">
        <f t="shared" si="0"/>
        <v>8400</v>
      </c>
    </row>
    <row r="11" spans="1:15" ht="15" thickBot="1" x14ac:dyDescent="0.35">
      <c r="A11" s="26" t="s">
        <v>8</v>
      </c>
      <c r="B11" s="27" t="s">
        <v>18</v>
      </c>
      <c r="C11" s="36">
        <f>'Expence-15'!E11</f>
        <v>0</v>
      </c>
      <c r="D11" s="36">
        <f>'Expence-16'!E11</f>
        <v>0</v>
      </c>
      <c r="E11" s="36">
        <f>'Expence-17'!E11</f>
        <v>0</v>
      </c>
      <c r="F11" s="36">
        <f>'Expence-18'!E11</f>
        <v>0</v>
      </c>
      <c r="G11" s="36">
        <f>'Expence-19'!E11</f>
        <v>0</v>
      </c>
      <c r="H11" s="36">
        <f>'Expence-20'!E11</f>
        <v>0</v>
      </c>
      <c r="I11" s="36">
        <f>'Expence-21'!E11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'Expence-15'!E12</f>
        <v>0</v>
      </c>
      <c r="D12" s="36">
        <f>'Expence-16'!E12</f>
        <v>0</v>
      </c>
      <c r="E12" s="36">
        <f>'Expence-17'!E12</f>
        <v>0</v>
      </c>
      <c r="F12" s="36">
        <f>'Expence-18'!E12</f>
        <v>0</v>
      </c>
      <c r="G12" s="36">
        <f>'Expence-19'!E12</f>
        <v>0</v>
      </c>
      <c r="H12" s="36">
        <f>'Expence-20'!E12</f>
        <v>0</v>
      </c>
      <c r="I12" s="36">
        <f>'Expence-21'!E12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'Expence-15'!E13</f>
        <v>0</v>
      </c>
      <c r="D13" s="36">
        <f>'Expence-16'!E13</f>
        <v>0</v>
      </c>
      <c r="E13" s="36">
        <f>'Expence-17'!E13</f>
        <v>0</v>
      </c>
      <c r="F13" s="36">
        <f>'Expence-18'!E13</f>
        <v>0</v>
      </c>
      <c r="G13" s="36">
        <f>'Expence-19'!E13</f>
        <v>0</v>
      </c>
      <c r="H13" s="36">
        <f>'Expence-20'!E13</f>
        <v>0</v>
      </c>
      <c r="I13" s="36">
        <f>'Expence-21'!E13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'Expence-15'!E14</f>
        <v>0</v>
      </c>
      <c r="D14" s="36">
        <f>'Expence-16'!E14</f>
        <v>0</v>
      </c>
      <c r="E14" s="36">
        <f>'Expence-17'!E14</f>
        <v>0</v>
      </c>
      <c r="F14" s="36">
        <f>'Expence-18'!E14</f>
        <v>0</v>
      </c>
      <c r="G14" s="36">
        <f>'Expence-19'!E14</f>
        <v>10500</v>
      </c>
      <c r="H14" s="36">
        <f>'Expence-20'!E14</f>
        <v>0</v>
      </c>
      <c r="I14" s="36">
        <f>'Expence-21'!E14</f>
        <v>0</v>
      </c>
      <c r="J14" s="34">
        <f t="shared" si="0"/>
        <v>10500</v>
      </c>
    </row>
    <row r="15" spans="1:15" ht="15" thickBot="1" x14ac:dyDescent="0.35">
      <c r="A15" s="26" t="s">
        <v>22</v>
      </c>
      <c r="B15" s="27" t="s">
        <v>23</v>
      </c>
      <c r="C15" s="36">
        <f>'Expence-15'!E15</f>
        <v>0</v>
      </c>
      <c r="D15" s="36">
        <f>'Expence-16'!E15</f>
        <v>0</v>
      </c>
      <c r="E15" s="36">
        <f>'Expence-17'!E15</f>
        <v>0</v>
      </c>
      <c r="F15" s="36">
        <f>'Expence-18'!E15</f>
        <v>0</v>
      </c>
      <c r="G15" s="36">
        <f>'Expence-19'!E15</f>
        <v>0</v>
      </c>
      <c r="H15" s="36">
        <f>'Expence-20'!E15</f>
        <v>0</v>
      </c>
      <c r="I15" s="36">
        <f>'Expence-21'!E15</f>
        <v>0</v>
      </c>
      <c r="J15" s="34">
        <f t="shared" si="0"/>
        <v>0</v>
      </c>
    </row>
    <row r="16" spans="1:15" ht="15" thickBot="1" x14ac:dyDescent="0.35">
      <c r="A16" s="26" t="s">
        <v>24</v>
      </c>
      <c r="B16" s="27" t="s">
        <v>25</v>
      </c>
      <c r="C16" s="36">
        <f>'Expence-15'!E16</f>
        <v>0</v>
      </c>
      <c r="D16" s="36">
        <f>'Expence-16'!E16</f>
        <v>0</v>
      </c>
      <c r="E16" s="36">
        <f>'Expence-17'!E16</f>
        <v>5600</v>
      </c>
      <c r="F16" s="36">
        <f>'Expence-18'!E16</f>
        <v>0</v>
      </c>
      <c r="G16" s="36">
        <f>'Expence-19'!E16</f>
        <v>3000</v>
      </c>
      <c r="H16" s="36">
        <f>'Expence-20'!E16</f>
        <v>0</v>
      </c>
      <c r="I16" s="36">
        <f>'Expence-21'!E16</f>
        <v>0</v>
      </c>
      <c r="J16" s="34">
        <f t="shared" si="0"/>
        <v>8600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'Expence-15'!E17</f>
        <v>0</v>
      </c>
      <c r="D17" s="36">
        <f>'Expence-16'!E17</f>
        <v>0</v>
      </c>
      <c r="E17" s="36">
        <f>'Expence-17'!E17</f>
        <v>0</v>
      </c>
      <c r="F17" s="36">
        <f>'Expence-18'!E17</f>
        <v>0</v>
      </c>
      <c r="G17" s="36">
        <f>'Expence-19'!E17</f>
        <v>0</v>
      </c>
      <c r="H17" s="36">
        <f>'Expence-20'!E17</f>
        <v>0</v>
      </c>
      <c r="I17" s="36">
        <f>'Expence-21'!E17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'Expence-15'!E18</f>
        <v>0</v>
      </c>
      <c r="D18" s="36">
        <f>'Expence-16'!E18</f>
        <v>0</v>
      </c>
      <c r="E18" s="36">
        <f>'Expence-17'!E18</f>
        <v>2800</v>
      </c>
      <c r="F18" s="36">
        <f>'Expence-18'!E18</f>
        <v>0</v>
      </c>
      <c r="G18" s="36">
        <f>'Expence-19'!E18</f>
        <v>0</v>
      </c>
      <c r="H18" s="36">
        <f>'Expence-20'!E18</f>
        <v>0</v>
      </c>
      <c r="I18" s="36">
        <f>'Expence-21'!E18</f>
        <v>0</v>
      </c>
      <c r="J18" s="34">
        <f t="shared" si="0"/>
        <v>2800</v>
      </c>
    </row>
    <row r="19" spans="1:10" ht="15" thickBot="1" x14ac:dyDescent="0.35">
      <c r="A19" s="26" t="s">
        <v>30</v>
      </c>
      <c r="B19" s="27" t="s">
        <v>31</v>
      </c>
      <c r="C19" s="36">
        <f>'Expence-15'!E19</f>
        <v>0</v>
      </c>
      <c r="D19" s="36">
        <f>'Expence-16'!E19</f>
        <v>0</v>
      </c>
      <c r="E19" s="36">
        <f>'Expence-17'!E19</f>
        <v>3500</v>
      </c>
      <c r="F19" s="36">
        <f>'Expence-18'!E19</f>
        <v>0</v>
      </c>
      <c r="G19" s="36">
        <f>'Expence-19'!E19</f>
        <v>0</v>
      </c>
      <c r="H19" s="36">
        <f>'Expence-20'!E19</f>
        <v>0</v>
      </c>
      <c r="I19" s="36">
        <f>'Expence-21'!E19</f>
        <v>0</v>
      </c>
      <c r="J19" s="34">
        <f t="shared" si="0"/>
        <v>3500</v>
      </c>
    </row>
    <row r="20" spans="1:10" ht="15" thickBot="1" x14ac:dyDescent="0.35">
      <c r="A20" s="26" t="s">
        <v>32</v>
      </c>
      <c r="B20" s="27" t="s">
        <v>33</v>
      </c>
      <c r="C20" s="36">
        <f>'Expence-15'!E20</f>
        <v>0</v>
      </c>
      <c r="D20" s="36">
        <f>'Expence-16'!E20</f>
        <v>0</v>
      </c>
      <c r="E20" s="36">
        <f>'Expence-17'!E20</f>
        <v>2400</v>
      </c>
      <c r="F20" s="36">
        <f>'Expence-18'!E20</f>
        <v>0</v>
      </c>
      <c r="G20" s="36">
        <f>'Expence-19'!E20</f>
        <v>0</v>
      </c>
      <c r="H20" s="36">
        <f>'Expence-20'!E20</f>
        <v>3900</v>
      </c>
      <c r="I20" s="36">
        <f>'Expence-21'!E20</f>
        <v>0</v>
      </c>
      <c r="J20" s="34">
        <f t="shared" si="0"/>
        <v>6300</v>
      </c>
    </row>
    <row r="21" spans="1:10" ht="15" thickBot="1" x14ac:dyDescent="0.35">
      <c r="A21" s="26" t="s">
        <v>34</v>
      </c>
      <c r="B21" s="27" t="s">
        <v>35</v>
      </c>
      <c r="C21" s="36">
        <f>'Expence-15'!E21</f>
        <v>0</v>
      </c>
      <c r="D21" s="36">
        <f>'Expence-16'!E21</f>
        <v>0</v>
      </c>
      <c r="E21" s="36">
        <f>'Expence-17'!E21</f>
        <v>4300</v>
      </c>
      <c r="F21" s="36">
        <f>'Expence-18'!E21</f>
        <v>0</v>
      </c>
      <c r="G21" s="36">
        <f>'Expence-19'!E21</f>
        <v>0</v>
      </c>
      <c r="H21" s="36">
        <f>'Expence-20'!E21</f>
        <v>0</v>
      </c>
      <c r="I21" s="36">
        <f>'Expence-21'!E21</f>
        <v>0</v>
      </c>
      <c r="J21" s="34">
        <f t="shared" si="0"/>
        <v>4300</v>
      </c>
    </row>
    <row r="22" spans="1:10" ht="15" thickBot="1" x14ac:dyDescent="0.35">
      <c r="A22" s="26" t="s">
        <v>66</v>
      </c>
      <c r="B22" s="27" t="s">
        <v>91</v>
      </c>
      <c r="C22" s="36">
        <f>'Expence-15'!E22</f>
        <v>0</v>
      </c>
      <c r="D22" s="36">
        <f>'Expence-16'!E22</f>
        <v>0</v>
      </c>
      <c r="E22" s="36">
        <f>'Expence-17'!E22</f>
        <v>0</v>
      </c>
      <c r="F22" s="36">
        <f>'Expence-18'!E22</f>
        <v>0</v>
      </c>
      <c r="G22" s="36">
        <f>'Expence-19'!E22</f>
        <v>0</v>
      </c>
      <c r="H22" s="36">
        <f>'Expence-20'!E22</f>
        <v>3300</v>
      </c>
      <c r="I22" s="36">
        <f>'Expence-21'!E22</f>
        <v>0</v>
      </c>
      <c r="J22" s="34">
        <f t="shared" si="0"/>
        <v>3300</v>
      </c>
    </row>
    <row r="23" spans="1:10" ht="15" thickBot="1" x14ac:dyDescent="0.35">
      <c r="A23" s="26" t="s">
        <v>68</v>
      </c>
      <c r="B23" s="27" t="s">
        <v>92</v>
      </c>
      <c r="C23" s="36">
        <f>'Expence-15'!E23</f>
        <v>0</v>
      </c>
      <c r="D23" s="36">
        <f>'Expence-16'!E23</f>
        <v>0</v>
      </c>
      <c r="E23" s="36">
        <f>'Expence-17'!E23</f>
        <v>0</v>
      </c>
      <c r="F23" s="36">
        <f>'Expence-18'!E23</f>
        <v>0</v>
      </c>
      <c r="G23" s="36">
        <f>'Expence-19'!E23</f>
        <v>0</v>
      </c>
      <c r="H23" s="36">
        <f>'Expence-20'!E23</f>
        <v>0</v>
      </c>
      <c r="I23" s="36">
        <f>'Expence-21'!E23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'Expence-15'!E24</f>
        <v>0</v>
      </c>
      <c r="D24" s="36">
        <f>'Expence-16'!E24</f>
        <v>0</v>
      </c>
      <c r="E24" s="36">
        <f>'Expence-17'!E24</f>
        <v>0</v>
      </c>
      <c r="F24" s="36">
        <f>'Expence-18'!E24</f>
        <v>0</v>
      </c>
      <c r="G24" s="36">
        <f>'Expence-19'!E24</f>
        <v>0</v>
      </c>
      <c r="H24" s="36">
        <f>'Expence-20'!E24</f>
        <v>0</v>
      </c>
      <c r="I24" s="36">
        <f>'Expence-21'!E24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'Expence-15'!E25</f>
        <v>0</v>
      </c>
      <c r="D25" s="36">
        <f>'Expence-16'!E25</f>
        <v>0</v>
      </c>
      <c r="E25" s="36">
        <f>'Expence-17'!E25</f>
        <v>0</v>
      </c>
      <c r="F25" s="36">
        <f>'Expence-18'!E25</f>
        <v>0</v>
      </c>
      <c r="G25" s="36">
        <f>'Expence-19'!E25</f>
        <v>0</v>
      </c>
      <c r="H25" s="36">
        <f>'Expence-20'!E25</f>
        <v>0</v>
      </c>
      <c r="I25" s="36">
        <f>'Expence-21'!E25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'Expence-15'!E26</f>
        <v>0</v>
      </c>
      <c r="D26" s="36">
        <f>'Expence-16'!E26</f>
        <v>0</v>
      </c>
      <c r="E26" s="36">
        <f>'Expence-17'!E26</f>
        <v>0</v>
      </c>
      <c r="F26" s="36">
        <f>'Expence-18'!E26</f>
        <v>0</v>
      </c>
      <c r="G26" s="36">
        <f>'Expence-19'!E26</f>
        <v>0</v>
      </c>
      <c r="H26" s="36">
        <f>'Expence-20'!E26</f>
        <v>0</v>
      </c>
      <c r="I26" s="36">
        <f>'Expence-21'!E26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'Expence-15'!E27</f>
        <v>0</v>
      </c>
      <c r="D27" s="36">
        <f>'Expence-16'!E27</f>
        <v>0</v>
      </c>
      <c r="E27" s="36">
        <f>'Expence-17'!E27</f>
        <v>0</v>
      </c>
      <c r="F27" s="36">
        <f>'Expence-18'!E27</f>
        <v>0</v>
      </c>
      <c r="G27" s="36">
        <f>'Expence-19'!E27</f>
        <v>0</v>
      </c>
      <c r="H27" s="36">
        <f>'Expence-20'!E27</f>
        <v>0</v>
      </c>
      <c r="I27" s="36">
        <f>'Expence-21'!E27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'Expence-15'!E28</f>
        <v>0</v>
      </c>
      <c r="D28" s="36">
        <f>'Expence-16'!E28</f>
        <v>21600</v>
      </c>
      <c r="E28" s="36">
        <f>'Expence-17'!E28</f>
        <v>0</v>
      </c>
      <c r="F28" s="36">
        <f>'Expence-18'!E28</f>
        <v>0</v>
      </c>
      <c r="G28" s="36">
        <f>'Expence-19'!E28</f>
        <v>0</v>
      </c>
      <c r="H28" s="36">
        <f>'Expence-20'!E28</f>
        <v>50000</v>
      </c>
      <c r="I28" s="36">
        <f>'Expence-21'!E28</f>
        <v>0</v>
      </c>
      <c r="J28" s="34">
        <f t="shared" si="0"/>
        <v>71600</v>
      </c>
    </row>
    <row r="29" spans="1:10" ht="15" thickBot="1" x14ac:dyDescent="0.35">
      <c r="A29" s="26" t="s">
        <v>8</v>
      </c>
      <c r="B29" s="27" t="s">
        <v>38</v>
      </c>
      <c r="C29" s="36">
        <f>'Expence-15'!E29</f>
        <v>0</v>
      </c>
      <c r="D29" s="36">
        <f>'Expence-16'!E29</f>
        <v>24000</v>
      </c>
      <c r="E29" s="36">
        <f>'Expence-17'!E29</f>
        <v>0</v>
      </c>
      <c r="F29" s="36">
        <f>'Expence-18'!E29</f>
        <v>32000</v>
      </c>
      <c r="G29" s="36">
        <f>'Expence-19'!E29</f>
        <v>0</v>
      </c>
      <c r="H29" s="36">
        <f>'Expence-20'!E29</f>
        <v>30000</v>
      </c>
      <c r="I29" s="36">
        <f>'Expence-21'!E29</f>
        <v>0</v>
      </c>
      <c r="J29" s="34">
        <f t="shared" si="0"/>
        <v>86000</v>
      </c>
    </row>
    <row r="30" spans="1:10" ht="15" thickBot="1" x14ac:dyDescent="0.35">
      <c r="A30" s="26" t="s">
        <v>10</v>
      </c>
      <c r="B30" s="27" t="s">
        <v>39</v>
      </c>
      <c r="C30" s="36">
        <f>'Expence-15'!E30</f>
        <v>0</v>
      </c>
      <c r="D30" s="36">
        <f>'Expence-16'!E30</f>
        <v>0</v>
      </c>
      <c r="E30" s="36">
        <f>'Expence-17'!E30</f>
        <v>0</v>
      </c>
      <c r="F30" s="36">
        <f>'Expence-18'!E30</f>
        <v>0</v>
      </c>
      <c r="G30" s="36">
        <f>'Expence-19'!E30</f>
        <v>0</v>
      </c>
      <c r="H30" s="36">
        <f>'Expence-20'!E30</f>
        <v>0</v>
      </c>
      <c r="I30" s="36">
        <f>'Expence-21'!E30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'Expence-15'!E31</f>
        <v>0</v>
      </c>
      <c r="D31" s="36">
        <f>'Expence-16'!E31</f>
        <v>0</v>
      </c>
      <c r="E31" s="36">
        <f>'Expence-17'!E31</f>
        <v>0</v>
      </c>
      <c r="F31" s="36">
        <f>'Expence-18'!E31</f>
        <v>0</v>
      </c>
      <c r="G31" s="36">
        <f>'Expence-19'!E31</f>
        <v>0</v>
      </c>
      <c r="H31" s="36">
        <f>'Expence-20'!E31</f>
        <v>0</v>
      </c>
      <c r="I31" s="36">
        <f>'Expence-21'!E31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'Expence-15'!E32</f>
        <v>0</v>
      </c>
      <c r="D32" s="36">
        <f>'Expence-16'!E32</f>
        <v>0</v>
      </c>
      <c r="E32" s="36">
        <f>'Expence-17'!E32</f>
        <v>0</v>
      </c>
      <c r="F32" s="36">
        <f>'Expence-18'!E32</f>
        <v>8000</v>
      </c>
      <c r="G32" s="36">
        <f>'Expence-19'!E32</f>
        <v>0</v>
      </c>
      <c r="H32" s="36">
        <f>'Expence-20'!E32</f>
        <v>0</v>
      </c>
      <c r="I32" s="36">
        <f>'Expence-21'!E32</f>
        <v>0</v>
      </c>
      <c r="J32" s="34">
        <f t="shared" si="0"/>
        <v>8000</v>
      </c>
    </row>
    <row r="33" spans="1:18" ht="15" thickBot="1" x14ac:dyDescent="0.35">
      <c r="A33" s="26" t="s">
        <v>22</v>
      </c>
      <c r="B33" s="27" t="s">
        <v>42</v>
      </c>
      <c r="C33" s="36">
        <f>'Expence-15'!E33</f>
        <v>0</v>
      </c>
      <c r="D33" s="36">
        <f>'Expence-16'!E33</f>
        <v>0</v>
      </c>
      <c r="E33" s="36">
        <f>'Expence-17'!E33</f>
        <v>0</v>
      </c>
      <c r="F33" s="36">
        <f>'Expence-18'!E33</f>
        <v>0</v>
      </c>
      <c r="G33" s="36">
        <f>'Expence-19'!E33</f>
        <v>0</v>
      </c>
      <c r="H33" s="36">
        <f>'Expence-20'!E33</f>
        <v>0</v>
      </c>
      <c r="I33" s="36">
        <f>'Expence-21'!E33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'Expence-15'!E34</f>
        <v>0</v>
      </c>
      <c r="D34" s="36">
        <f>'Expence-16'!E34</f>
        <v>0</v>
      </c>
      <c r="E34" s="36">
        <f>'Expence-17'!E34</f>
        <v>0</v>
      </c>
      <c r="F34" s="36">
        <f>'Expence-18'!E34</f>
        <v>0</v>
      </c>
      <c r="G34" s="36">
        <f>'Expence-19'!E34</f>
        <v>0</v>
      </c>
      <c r="H34" s="36">
        <f>'Expence-20'!E34</f>
        <v>0</v>
      </c>
      <c r="I34" s="36">
        <f>'Expence-21'!E34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'Expence-15'!E35</f>
        <v>0</v>
      </c>
      <c r="D35" s="36">
        <f>'Expence-16'!E35</f>
        <v>0</v>
      </c>
      <c r="E35" s="36">
        <f>'Expence-17'!E35</f>
        <v>0</v>
      </c>
      <c r="F35" s="36">
        <f>'Expence-18'!E35</f>
        <v>0</v>
      </c>
      <c r="G35" s="36">
        <f>'Expence-19'!E35</f>
        <v>0</v>
      </c>
      <c r="H35" s="36">
        <f>'Expence-20'!E35</f>
        <v>0</v>
      </c>
      <c r="I35" s="36">
        <f>'Expence-21'!E35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'Expence-15'!E36</f>
        <v>0</v>
      </c>
      <c r="D36" s="36">
        <f>'Expence-16'!E36</f>
        <v>0</v>
      </c>
      <c r="E36" s="36">
        <f>'Expence-17'!E36</f>
        <v>0</v>
      </c>
      <c r="F36" s="36">
        <f>'Expence-18'!E36</f>
        <v>0</v>
      </c>
      <c r="G36" s="36">
        <f>'Expence-19'!E36</f>
        <v>0</v>
      </c>
      <c r="H36" s="36">
        <f>'Expence-20'!E36</f>
        <v>0</v>
      </c>
      <c r="I36" s="36">
        <f>'Expence-21'!E36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'Expence-15'!E37</f>
        <v>0</v>
      </c>
      <c r="D37" s="36">
        <f>'Expence-16'!E37</f>
        <v>0</v>
      </c>
      <c r="E37" s="36">
        <f>'Expence-17'!E37</f>
        <v>0</v>
      </c>
      <c r="F37" s="36">
        <f>'Expence-18'!E37</f>
        <v>13000</v>
      </c>
      <c r="G37" s="36">
        <f>'Expence-19'!E37</f>
        <v>0</v>
      </c>
      <c r="H37" s="36">
        <f>'Expence-20'!E37</f>
        <v>0</v>
      </c>
      <c r="I37" s="36">
        <f>'Expence-21'!E37</f>
        <v>0</v>
      </c>
      <c r="J37" s="34">
        <f t="shared" si="0"/>
        <v>13000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'Expence-15'!E38</f>
        <v>0</v>
      </c>
      <c r="D38" s="36">
        <f>'Expence-16'!E38</f>
        <v>0</v>
      </c>
      <c r="E38" s="36">
        <f>'Expence-17'!E38</f>
        <v>0</v>
      </c>
      <c r="F38" s="36">
        <f>'Expence-18'!E38</f>
        <v>0</v>
      </c>
      <c r="G38" s="36">
        <f>'Expence-19'!E38</f>
        <v>0</v>
      </c>
      <c r="H38" s="36">
        <f>'Expence-20'!E38</f>
        <v>0</v>
      </c>
      <c r="I38" s="36">
        <f>'Expence-21'!E38</f>
        <v>0</v>
      </c>
      <c r="J38" s="34">
        <f t="shared" si="0"/>
        <v>0</v>
      </c>
      <c r="O38" s="32"/>
      <c r="R38"/>
    </row>
    <row r="39" spans="1:18" ht="15" thickBot="1" x14ac:dyDescent="0.35">
      <c r="A39" s="27"/>
      <c r="B39" s="27"/>
      <c r="C39" s="36">
        <f>'Expence-15'!E39</f>
        <v>0</v>
      </c>
      <c r="D39" s="36">
        <f>'Expence-16'!E39</f>
        <v>0</v>
      </c>
      <c r="E39" s="36">
        <f>'Expence-17'!E39</f>
        <v>0</v>
      </c>
      <c r="F39" s="36">
        <f>'Expence-18'!E39</f>
        <v>0</v>
      </c>
      <c r="G39" s="36">
        <f>'Expence-19'!E39</f>
        <v>0</v>
      </c>
      <c r="H39" s="36">
        <f>'Expence-20'!E39</f>
        <v>0</v>
      </c>
      <c r="I39" s="36">
        <f>'Expence-21'!E39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'Expence-15'!E40</f>
        <v>0</v>
      </c>
      <c r="D40" s="36">
        <f>'Expence-16'!E40</f>
        <v>0</v>
      </c>
      <c r="E40" s="36">
        <f>'Expence-17'!E40</f>
        <v>0</v>
      </c>
      <c r="F40" s="36">
        <f>'Expence-18'!E40</f>
        <v>0</v>
      </c>
      <c r="G40" s="36">
        <f>'Expence-19'!E40</f>
        <v>0</v>
      </c>
      <c r="H40" s="36">
        <f>'Expence-20'!E40</f>
        <v>0</v>
      </c>
      <c r="I40" s="36">
        <f>'Expence-21'!E40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'Expence-15'!E41</f>
        <v>0</v>
      </c>
      <c r="D41" s="36">
        <f>'Expence-16'!E41</f>
        <v>0</v>
      </c>
      <c r="E41" s="36">
        <f>'Expence-17'!E41</f>
        <v>0</v>
      </c>
      <c r="F41" s="36">
        <f>'Expence-18'!E41</f>
        <v>0</v>
      </c>
      <c r="G41" s="36">
        <f>'Expence-19'!E41</f>
        <v>0</v>
      </c>
      <c r="H41" s="36">
        <f>'Expence-20'!E41</f>
        <v>0</v>
      </c>
      <c r="I41" s="36">
        <f>'Expence-21'!E41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'Expence-15'!E42</f>
        <v>0</v>
      </c>
      <c r="D42" s="36">
        <f>'Expence-16'!E42</f>
        <v>0</v>
      </c>
      <c r="E42" s="36">
        <f>'Expence-17'!E42</f>
        <v>0</v>
      </c>
      <c r="F42" s="36">
        <f>'Expence-18'!E42</f>
        <v>0</v>
      </c>
      <c r="G42" s="36">
        <f>'Expence-19'!E42</f>
        <v>0</v>
      </c>
      <c r="H42" s="36">
        <f>'Expence-20'!E42</f>
        <v>0</v>
      </c>
      <c r="I42" s="36">
        <f>'Expence-21'!E42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'Expence-15'!E43</f>
        <v>0</v>
      </c>
      <c r="D43" s="36">
        <f>'Expence-16'!E43</f>
        <v>0</v>
      </c>
      <c r="E43" s="36">
        <f>'Expence-17'!E43</f>
        <v>0</v>
      </c>
      <c r="F43" s="36">
        <f>'Expence-18'!E43</f>
        <v>0</v>
      </c>
      <c r="G43" s="36">
        <f>'Expence-19'!E43</f>
        <v>0</v>
      </c>
      <c r="H43" s="36">
        <f>'Expence-20'!E43</f>
        <v>0</v>
      </c>
      <c r="I43" s="36">
        <f>'Expence-21'!E43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'Expence-15'!E44</f>
        <v>0</v>
      </c>
      <c r="D44" s="36">
        <f>'Expence-16'!E44</f>
        <v>0</v>
      </c>
      <c r="E44" s="36">
        <f>'Expence-17'!E44</f>
        <v>0</v>
      </c>
      <c r="F44" s="36">
        <f>'Expence-18'!E44</f>
        <v>0</v>
      </c>
      <c r="G44" s="36">
        <f>'Expence-19'!E44</f>
        <v>0</v>
      </c>
      <c r="H44" s="36">
        <f>'Expence-20'!E44</f>
        <v>0</v>
      </c>
      <c r="I44" s="36">
        <f>'Expence-21'!E44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'Expence-15'!E45</f>
        <v>0</v>
      </c>
      <c r="D45" s="36">
        <f>'Expence-16'!E45</f>
        <v>0</v>
      </c>
      <c r="E45" s="36">
        <f>'Expence-17'!E45</f>
        <v>0</v>
      </c>
      <c r="F45" s="36">
        <f>'Expence-18'!E45</f>
        <v>0</v>
      </c>
      <c r="G45" s="36">
        <f>'Expence-19'!E45</f>
        <v>0</v>
      </c>
      <c r="H45" s="36">
        <f>'Expence-20'!E45</f>
        <v>0</v>
      </c>
      <c r="I45" s="36">
        <f>'Expence-21'!E45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'Expence-15'!E46</f>
        <v>0</v>
      </c>
      <c r="D46" s="36">
        <f>'Expence-16'!E46</f>
        <v>0</v>
      </c>
      <c r="E46" s="36">
        <f>'Expence-17'!E46</f>
        <v>0</v>
      </c>
      <c r="F46" s="36">
        <f>'Expence-18'!E46</f>
        <v>0</v>
      </c>
      <c r="G46" s="36">
        <f>'Expence-19'!E46</f>
        <v>0</v>
      </c>
      <c r="H46" s="36">
        <f>'Expence-20'!E46</f>
        <v>0</v>
      </c>
      <c r="I46" s="36">
        <f>'Expence-21'!E46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'Expence-15'!E47</f>
        <v>0</v>
      </c>
      <c r="D47" s="36">
        <f>'Expence-16'!E47</f>
        <v>0</v>
      </c>
      <c r="E47" s="36">
        <f>'Expence-17'!E47</f>
        <v>0</v>
      </c>
      <c r="F47" s="36">
        <f>'Expence-18'!E47</f>
        <v>0</v>
      </c>
      <c r="G47" s="36">
        <f>'Expence-19'!E47</f>
        <v>0</v>
      </c>
      <c r="H47" s="36">
        <f>'Expence-20'!E47</f>
        <v>0</v>
      </c>
      <c r="I47" s="36">
        <f>'Expence-21'!E47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'Expence-15'!E48</f>
        <v>0</v>
      </c>
      <c r="D48" s="36">
        <f>'Expence-16'!E48</f>
        <v>0</v>
      </c>
      <c r="E48" s="36">
        <f>'Expence-17'!E48</f>
        <v>0</v>
      </c>
      <c r="F48" s="36">
        <f>'Expence-18'!E48</f>
        <v>0</v>
      </c>
      <c r="G48" s="36">
        <f>'Expence-19'!E48</f>
        <v>0</v>
      </c>
      <c r="H48" s="36">
        <f>'Expence-20'!E48</f>
        <v>0</v>
      </c>
      <c r="I48" s="36">
        <f>'Expence-21'!E48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'Expence-15'!E49</f>
        <v>0</v>
      </c>
      <c r="D49" s="36">
        <f>'Expence-16'!E49</f>
        <v>0</v>
      </c>
      <c r="E49" s="36">
        <f>'Expence-17'!E49</f>
        <v>0</v>
      </c>
      <c r="F49" s="36">
        <f>'Expence-18'!E49</f>
        <v>0</v>
      </c>
      <c r="G49" s="36">
        <f>'Expence-19'!E49</f>
        <v>0</v>
      </c>
      <c r="H49" s="36">
        <f>'Expence-20'!E49</f>
        <v>0</v>
      </c>
      <c r="I49" s="36">
        <f>'Expence-21'!E49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'Expence-15'!E50</f>
        <v>0</v>
      </c>
      <c r="D50" s="36">
        <f>'Expence-16'!E50</f>
        <v>0</v>
      </c>
      <c r="E50" s="36">
        <f>'Expence-17'!E50</f>
        <v>0</v>
      </c>
      <c r="F50" s="36">
        <f>'Expence-18'!E50</f>
        <v>0</v>
      </c>
      <c r="G50" s="36">
        <f>'Expence-19'!E50</f>
        <v>0</v>
      </c>
      <c r="H50" s="36">
        <f>'Expence-20'!E50</f>
        <v>0</v>
      </c>
      <c r="I50" s="36">
        <f>'Expence-21'!E50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'Expence-15'!E51</f>
        <v>0</v>
      </c>
      <c r="D51" s="36">
        <f>'Expence-16'!E51</f>
        <v>0</v>
      </c>
      <c r="E51" s="36">
        <f>'Expence-17'!E51</f>
        <v>0</v>
      </c>
      <c r="F51" s="36">
        <f>'Expence-18'!E51</f>
        <v>0</v>
      </c>
      <c r="G51" s="36">
        <f>'Expence-19'!E51</f>
        <v>0</v>
      </c>
      <c r="H51" s="36">
        <f>'Expence-20'!E51</f>
        <v>0</v>
      </c>
      <c r="I51" s="36">
        <f>'Expence-21'!E51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'Expence-15'!E52</f>
        <v>8000</v>
      </c>
      <c r="D52" s="36">
        <f>'Expence-16'!E52</f>
        <v>8500</v>
      </c>
      <c r="E52" s="36">
        <f>'Expence-17'!E52</f>
        <v>8500</v>
      </c>
      <c r="F52" s="36">
        <f>'Expence-18'!E52</f>
        <v>7500</v>
      </c>
      <c r="G52" s="36">
        <f>'Expence-19'!E52</f>
        <v>5500</v>
      </c>
      <c r="H52" s="36">
        <f>'Expence-20'!E52</f>
        <v>5500</v>
      </c>
      <c r="I52" s="36">
        <f>'Expence-21'!E52</f>
        <v>5500</v>
      </c>
      <c r="J52" s="34">
        <f t="shared" si="0"/>
        <v>49000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'Expence-15'!E53</f>
        <v>0</v>
      </c>
      <c r="D53" s="36">
        <f>'Expence-16'!E53</f>
        <v>0</v>
      </c>
      <c r="E53" s="36">
        <f>'Expence-17'!E53</f>
        <v>0</v>
      </c>
      <c r="F53" s="36">
        <f>'Expence-18'!E53</f>
        <v>0</v>
      </c>
      <c r="G53" s="36">
        <f>'Expence-19'!E53</f>
        <v>0</v>
      </c>
      <c r="H53" s="36">
        <f>'Expence-20'!E53</f>
        <v>0</v>
      </c>
      <c r="I53" s="36">
        <f>'Expence-21'!E53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'Expence-15'!E54</f>
        <v>0</v>
      </c>
      <c r="D54" s="36">
        <f>'Expence-16'!E54</f>
        <v>0</v>
      </c>
      <c r="E54" s="36">
        <f>'Expence-17'!E54</f>
        <v>0</v>
      </c>
      <c r="F54" s="36">
        <f>'Expence-18'!E54</f>
        <v>0</v>
      </c>
      <c r="G54" s="36">
        <f>'Expence-19'!E54</f>
        <v>0</v>
      </c>
      <c r="H54" s="36">
        <f>'Expence-20'!E54</f>
        <v>0</v>
      </c>
      <c r="I54" s="36">
        <f>'Expence-21'!E54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'Expence-15'!E55</f>
        <v>0</v>
      </c>
      <c r="D55" s="36">
        <f>'Expence-16'!E55</f>
        <v>0</v>
      </c>
      <c r="E55" s="36">
        <f>'Expence-17'!E55</f>
        <v>0</v>
      </c>
      <c r="F55" s="36">
        <f>'Expence-18'!E55</f>
        <v>0</v>
      </c>
      <c r="G55" s="36">
        <f>'Expence-19'!E55</f>
        <v>0</v>
      </c>
      <c r="H55" s="36">
        <f>'Expence-20'!E55</f>
        <v>0</v>
      </c>
      <c r="I55" s="36">
        <f>'Expence-21'!E55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'Expence-15'!E56</f>
        <v>0</v>
      </c>
      <c r="D56" s="36">
        <f>'Expence-16'!E56</f>
        <v>0</v>
      </c>
      <c r="E56" s="36">
        <f>'Expence-17'!E56</f>
        <v>0</v>
      </c>
      <c r="F56" s="36">
        <f>'Expence-18'!E56</f>
        <v>0</v>
      </c>
      <c r="G56" s="36">
        <f>'Expence-19'!E56</f>
        <v>0</v>
      </c>
      <c r="H56" s="36">
        <f>'Expence-20'!E56</f>
        <v>0</v>
      </c>
      <c r="I56" s="36">
        <f>'Expence-21'!E56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'Expence-15'!E57</f>
        <v>0</v>
      </c>
      <c r="D57" s="36">
        <f>'Expence-16'!E57</f>
        <v>0</v>
      </c>
      <c r="E57" s="36">
        <f>'Expence-17'!E57</f>
        <v>0</v>
      </c>
      <c r="F57" s="36">
        <f>'Expence-18'!E57</f>
        <v>0</v>
      </c>
      <c r="G57" s="36">
        <f>'Expence-19'!E57</f>
        <v>0</v>
      </c>
      <c r="H57" s="36">
        <f>'Expence-20'!E57</f>
        <v>0</v>
      </c>
      <c r="I57" s="36">
        <f>'Expence-21'!E57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'Expence-15'!E58</f>
        <v>0</v>
      </c>
      <c r="D58" s="36">
        <f>'Expence-16'!E58</f>
        <v>0</v>
      </c>
      <c r="E58" s="36">
        <f>'Expence-17'!E58</f>
        <v>0</v>
      </c>
      <c r="F58" s="36">
        <f>'Expence-18'!E58</f>
        <v>0</v>
      </c>
      <c r="G58" s="36">
        <f>'Expence-19'!E58</f>
        <v>0</v>
      </c>
      <c r="H58" s="36">
        <f>'Expence-20'!E58</f>
        <v>0</v>
      </c>
      <c r="I58" s="36">
        <f>'Expence-21'!E58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'Expence-15'!E59</f>
        <v>0</v>
      </c>
      <c r="D59" s="36">
        <f>'Expence-16'!E59</f>
        <v>0</v>
      </c>
      <c r="E59" s="36">
        <f>'Expence-17'!E59</f>
        <v>0</v>
      </c>
      <c r="F59" s="36">
        <f>'Expence-18'!E59</f>
        <v>0</v>
      </c>
      <c r="G59" s="36">
        <f>'Expence-19'!E59</f>
        <v>0</v>
      </c>
      <c r="H59" s="36">
        <f>'Expence-20'!E59</f>
        <v>0</v>
      </c>
      <c r="I59" s="36">
        <f>'Expence-21'!E59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'Expence-15'!E60</f>
        <v>0</v>
      </c>
      <c r="D60" s="36">
        <f>'Expence-16'!E60</f>
        <v>0</v>
      </c>
      <c r="E60" s="36">
        <f>'Expence-17'!E60</f>
        <v>0</v>
      </c>
      <c r="F60" s="36">
        <f>'Expence-18'!E60</f>
        <v>0</v>
      </c>
      <c r="G60" s="36">
        <f>'Expence-19'!E60</f>
        <v>0</v>
      </c>
      <c r="H60" s="36">
        <f>'Expence-20'!E60</f>
        <v>0</v>
      </c>
      <c r="I60" s="36">
        <f>'Expence-21'!E60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'Expence-15'!E61</f>
        <v>0</v>
      </c>
      <c r="D61" s="36">
        <f>'Expence-16'!E61</f>
        <v>0</v>
      </c>
      <c r="E61" s="36">
        <f>'Expence-17'!E61</f>
        <v>6500</v>
      </c>
      <c r="F61" s="36">
        <f>'Expence-18'!E61</f>
        <v>0</v>
      </c>
      <c r="G61" s="36">
        <f>'Expence-19'!E61</f>
        <v>6500</v>
      </c>
      <c r="H61" s="36">
        <f>'Expence-20'!E61</f>
        <v>0</v>
      </c>
      <c r="I61" s="36">
        <f>'Expence-21'!E61</f>
        <v>6500</v>
      </c>
      <c r="J61" s="34">
        <f t="shared" si="0"/>
        <v>19500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'Expence-15'!E62</f>
        <v>0</v>
      </c>
      <c r="D62" s="36">
        <f>'Expence-16'!E62</f>
        <v>0</v>
      </c>
      <c r="E62" s="36">
        <f>'Expence-17'!E62</f>
        <v>0</v>
      </c>
      <c r="F62" s="36">
        <f>'Expence-18'!E62</f>
        <v>0</v>
      </c>
      <c r="G62" s="36">
        <f>'Expence-19'!E62</f>
        <v>0</v>
      </c>
      <c r="H62" s="36">
        <f>'Expence-20'!E62</f>
        <v>0</v>
      </c>
      <c r="I62" s="36">
        <f>'Expence-21'!E62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'Expence-15'!E63</f>
        <v>0</v>
      </c>
      <c r="D63" s="36">
        <f>'Expence-16'!E63</f>
        <v>0</v>
      </c>
      <c r="E63" s="36">
        <f>'Expence-17'!E63</f>
        <v>0</v>
      </c>
      <c r="F63" s="36">
        <f>'Expence-18'!E63</f>
        <v>0</v>
      </c>
      <c r="G63" s="36">
        <f>'Expence-19'!E63</f>
        <v>0</v>
      </c>
      <c r="H63" s="36">
        <f>'Expence-20'!E63</f>
        <v>0</v>
      </c>
      <c r="I63" s="36">
        <f>'Expence-21'!E63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'Expence-15'!E64</f>
        <v>0</v>
      </c>
      <c r="D64" s="36">
        <f>'Expence-16'!E64</f>
        <v>0</v>
      </c>
      <c r="E64" s="36">
        <f>'Expence-17'!E64</f>
        <v>0</v>
      </c>
      <c r="F64" s="36">
        <f>'Expence-18'!E64</f>
        <v>0</v>
      </c>
      <c r="G64" s="36">
        <f>'Expence-19'!E64</f>
        <v>0</v>
      </c>
      <c r="H64" s="36">
        <f>'Expence-20'!E64</f>
        <v>0</v>
      </c>
      <c r="I64" s="36">
        <f>'Expence-21'!E64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'Expence-15'!E65</f>
        <v>0</v>
      </c>
      <c r="D65" s="36">
        <f>'Expence-16'!E65</f>
        <v>0</v>
      </c>
      <c r="E65" s="36">
        <f>'Expence-17'!E65</f>
        <v>0</v>
      </c>
      <c r="F65" s="36">
        <f>'Expence-18'!E65</f>
        <v>0</v>
      </c>
      <c r="G65" s="36">
        <f>'Expence-19'!E65</f>
        <v>0</v>
      </c>
      <c r="H65" s="36">
        <f>'Expence-20'!E65</f>
        <v>0</v>
      </c>
      <c r="I65" s="36">
        <f>'Expence-21'!E65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'Expence-15'!E66</f>
        <v>0</v>
      </c>
      <c r="D66" s="36">
        <f>'Expence-16'!E66</f>
        <v>0</v>
      </c>
      <c r="E66" s="36">
        <f>'Expence-17'!E66</f>
        <v>0</v>
      </c>
      <c r="F66" s="36">
        <f>'Expence-18'!E66</f>
        <v>0</v>
      </c>
      <c r="G66" s="36">
        <f>'Expence-19'!E66</f>
        <v>13000</v>
      </c>
      <c r="H66" s="36">
        <f>'Expence-20'!E66</f>
        <v>0</v>
      </c>
      <c r="I66" s="36">
        <f>'Expence-21'!E66</f>
        <v>0</v>
      </c>
      <c r="J66" s="34">
        <f t="shared" si="0"/>
        <v>13000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'Expence-15'!E67</f>
        <v>0</v>
      </c>
      <c r="D67" s="36">
        <f>'Expence-16'!E67</f>
        <v>0</v>
      </c>
      <c r="E67" s="36">
        <f>'Expence-17'!E67</f>
        <v>0</v>
      </c>
      <c r="F67" s="36">
        <f>'Expence-18'!E67</f>
        <v>0</v>
      </c>
      <c r="G67" s="36">
        <f>'Expence-19'!E67</f>
        <v>0</v>
      </c>
      <c r="H67" s="36">
        <f>'Expence-20'!E67</f>
        <v>0</v>
      </c>
      <c r="I67" s="36">
        <f>'Expence-21'!E67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'Expence-15'!E68</f>
        <v>0</v>
      </c>
      <c r="D68" s="36">
        <f>'Expence-16'!E68</f>
        <v>0</v>
      </c>
      <c r="E68" s="36">
        <f>'Expence-17'!E68</f>
        <v>0</v>
      </c>
      <c r="F68" s="36">
        <f>'Expence-18'!E68</f>
        <v>0</v>
      </c>
      <c r="G68" s="36">
        <f>'Expence-19'!E68</f>
        <v>0</v>
      </c>
      <c r="H68" s="36">
        <f>'Expence-20'!E68</f>
        <v>0</v>
      </c>
      <c r="I68" s="36">
        <f>'Expence-21'!E68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'Expence-15'!E69</f>
        <v>0</v>
      </c>
      <c r="D69" s="36">
        <f>'Expence-16'!E69</f>
        <v>0</v>
      </c>
      <c r="E69" s="36">
        <f>'Expence-17'!E69</f>
        <v>6800</v>
      </c>
      <c r="F69" s="36">
        <f>'Expence-18'!E69</f>
        <v>0</v>
      </c>
      <c r="G69" s="36">
        <f>'Expence-19'!E69</f>
        <v>0</v>
      </c>
      <c r="H69" s="36">
        <f>'Expence-20'!E69</f>
        <v>0</v>
      </c>
      <c r="I69" s="36">
        <f>'Expence-21'!E69</f>
        <v>0</v>
      </c>
      <c r="J69" s="34">
        <f t="shared" si="1"/>
        <v>6800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'Expence-15'!E70</f>
        <v>0</v>
      </c>
      <c r="D70" s="36">
        <f>'Expence-16'!E70</f>
        <v>0</v>
      </c>
      <c r="E70" s="36">
        <f>'Expence-17'!E70</f>
        <v>0</v>
      </c>
      <c r="F70" s="36">
        <f>'Expence-18'!E70</f>
        <v>0</v>
      </c>
      <c r="G70" s="36">
        <f>'Expence-19'!E70</f>
        <v>3750</v>
      </c>
      <c r="H70" s="36">
        <f>'Expence-20'!E70</f>
        <v>0</v>
      </c>
      <c r="I70" s="36">
        <f>'Expence-21'!E70</f>
        <v>0</v>
      </c>
      <c r="J70" s="34">
        <f t="shared" si="1"/>
        <v>3750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'Expence-15'!E71</f>
        <v>0</v>
      </c>
      <c r="D71" s="36">
        <f>'Expence-16'!E71</f>
        <v>0</v>
      </c>
      <c r="E71" s="36">
        <f>'Expence-17'!E71</f>
        <v>0</v>
      </c>
      <c r="F71" s="36">
        <f>'Expence-18'!E71</f>
        <v>0</v>
      </c>
      <c r="G71" s="36">
        <f>'Expence-19'!E71</f>
        <v>0</v>
      </c>
      <c r="H71" s="36">
        <f>'Expence-20'!E71</f>
        <v>0</v>
      </c>
      <c r="I71" s="36">
        <f>'Expence-21'!E71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'Expence-15'!E72</f>
        <v>0</v>
      </c>
      <c r="D72" s="36">
        <f>'Expence-16'!E72</f>
        <v>0</v>
      </c>
      <c r="E72" s="36">
        <f>'Expence-17'!E72</f>
        <v>0</v>
      </c>
      <c r="F72" s="36">
        <f>'Expence-18'!E72</f>
        <v>0</v>
      </c>
      <c r="G72" s="36">
        <f>'Expence-19'!E72</f>
        <v>0</v>
      </c>
      <c r="H72" s="36">
        <f>'Expence-20'!E72</f>
        <v>0</v>
      </c>
      <c r="I72" s="36">
        <f>'Expence-21'!E72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'Expence-15'!E73</f>
        <v>0</v>
      </c>
      <c r="D73" s="36">
        <f>'Expence-16'!E73</f>
        <v>0</v>
      </c>
      <c r="E73" s="36">
        <f>'Expence-17'!E73</f>
        <v>0</v>
      </c>
      <c r="F73" s="36">
        <f>'Expence-18'!E73</f>
        <v>0</v>
      </c>
      <c r="G73" s="36">
        <f>'Expence-19'!E73</f>
        <v>0</v>
      </c>
      <c r="H73" s="36">
        <f>'Expence-20'!E73</f>
        <v>0</v>
      </c>
      <c r="I73" s="36">
        <f>'Expence-21'!E73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'Expence-15'!E74</f>
        <v>0</v>
      </c>
      <c r="D74" s="36">
        <f>'Expence-16'!E74</f>
        <v>0</v>
      </c>
      <c r="E74" s="36">
        <f>'Expence-17'!E74</f>
        <v>0</v>
      </c>
      <c r="F74" s="36">
        <f>'Expence-18'!E74</f>
        <v>0</v>
      </c>
      <c r="G74" s="36">
        <f>'Expence-19'!E74</f>
        <v>0</v>
      </c>
      <c r="H74" s="36">
        <f>'Expence-20'!E74</f>
        <v>0</v>
      </c>
      <c r="I74" s="36">
        <f>'Expence-21'!E74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'Expence-15'!E75</f>
        <v>0</v>
      </c>
      <c r="D75" s="36">
        <f>'Expence-16'!E75</f>
        <v>0</v>
      </c>
      <c r="E75" s="36">
        <f>'Expence-17'!E75</f>
        <v>0</v>
      </c>
      <c r="F75" s="36">
        <f>'Expence-18'!E75</f>
        <v>0</v>
      </c>
      <c r="G75" s="36">
        <f>'Expence-19'!E75</f>
        <v>0</v>
      </c>
      <c r="H75" s="36">
        <f>'Expence-20'!E75</f>
        <v>0</v>
      </c>
      <c r="I75" s="36">
        <f>'Expence-21'!E75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'Expence-15'!E76</f>
        <v>0</v>
      </c>
      <c r="D76" s="36">
        <f>'Expence-16'!E76</f>
        <v>0</v>
      </c>
      <c r="E76" s="36">
        <f>'Expence-17'!E76</f>
        <v>0</v>
      </c>
      <c r="F76" s="36">
        <f>'Expence-18'!E76</f>
        <v>0</v>
      </c>
      <c r="G76" s="36">
        <f>'Expence-19'!E76</f>
        <v>0</v>
      </c>
      <c r="H76" s="36">
        <f>'Expence-20'!E76</f>
        <v>0</v>
      </c>
      <c r="I76" s="36">
        <f>'Expence-21'!E76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'Expence-15'!E77</f>
        <v>0</v>
      </c>
      <c r="D77" s="36">
        <f>'Expence-16'!E77</f>
        <v>0</v>
      </c>
      <c r="E77" s="36">
        <f>'Expence-17'!E77</f>
        <v>0</v>
      </c>
      <c r="F77" s="36">
        <f>'Expence-18'!E77</f>
        <v>0</v>
      </c>
      <c r="G77" s="36">
        <f>'Expence-19'!E77</f>
        <v>0</v>
      </c>
      <c r="H77" s="36">
        <f>'Expence-20'!E77</f>
        <v>0</v>
      </c>
      <c r="I77" s="36">
        <f>'Expence-21'!E77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'Expence-15'!E78</f>
        <v>0</v>
      </c>
      <c r="D78" s="36">
        <f>'Expence-16'!E78</f>
        <v>0</v>
      </c>
      <c r="E78" s="36">
        <f>'Expence-17'!E78</f>
        <v>0</v>
      </c>
      <c r="F78" s="36">
        <f>'Expence-18'!E78</f>
        <v>0</v>
      </c>
      <c r="G78" s="36">
        <f>'Expence-19'!E78</f>
        <v>0</v>
      </c>
      <c r="H78" s="36">
        <f>'Expence-20'!E78</f>
        <v>0</v>
      </c>
      <c r="I78" s="36">
        <f>'Expence-21'!E78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'Expence-15'!E79</f>
        <v>0</v>
      </c>
      <c r="D79" s="36">
        <f>'Expence-16'!E79</f>
        <v>0</v>
      </c>
      <c r="E79" s="36">
        <f>'Expence-17'!E79</f>
        <v>0</v>
      </c>
      <c r="F79" s="36">
        <f>'Expence-18'!E79</f>
        <v>0</v>
      </c>
      <c r="G79" s="36">
        <f>'Expence-19'!E79</f>
        <v>0</v>
      </c>
      <c r="H79" s="36">
        <f>'Expence-20'!E79</f>
        <v>0</v>
      </c>
      <c r="I79" s="36">
        <f>'Expence-21'!E79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8000</v>
      </c>
      <c r="D83" s="41">
        <f t="shared" ref="D83:I83" si="2">SUM(D3:D82)</f>
        <v>54100</v>
      </c>
      <c r="E83" s="41">
        <f t="shared" si="2"/>
        <v>70800</v>
      </c>
      <c r="F83" s="41">
        <f t="shared" si="2"/>
        <v>60500</v>
      </c>
      <c r="G83" s="41">
        <f t="shared" si="2"/>
        <v>47350</v>
      </c>
      <c r="H83" s="41">
        <f t="shared" si="2"/>
        <v>96900</v>
      </c>
      <c r="I83" s="41">
        <f t="shared" si="2"/>
        <v>21000</v>
      </c>
      <c r="J83" s="34">
        <f t="shared" si="1"/>
        <v>358650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9"/>
  <sheetViews>
    <sheetView topLeftCell="A67" workbookViewId="0">
      <selection activeCell="E88" sqref="E88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13500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5000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8000</v>
      </c>
      <c r="D52">
        <v>1</v>
      </c>
      <c r="E52" s="13">
        <f t="shared" si="0"/>
        <v>8000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3">
        <f t="shared" ref="E78:E87" si="1">D78*C78</f>
        <v>0</v>
      </c>
      <c r="M78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7" t="s">
        <v>8</v>
      </c>
      <c r="B80" s="14" t="s">
        <v>100</v>
      </c>
      <c r="C80">
        <f>4000/3</f>
        <v>1333.3333333333333</v>
      </c>
      <c r="D80" s="12">
        <v>3</v>
      </c>
      <c r="E80" s="13">
        <f t="shared" si="1"/>
        <v>4000</v>
      </c>
      <c r="M80"/>
    </row>
    <row r="81" spans="1:13" x14ac:dyDescent="0.3">
      <c r="A81" s="47" t="s">
        <v>10</v>
      </c>
      <c r="B81" s="14" t="s">
        <v>101</v>
      </c>
      <c r="C81">
        <v>2500</v>
      </c>
      <c r="D81" s="12">
        <v>1</v>
      </c>
      <c r="E81" s="13">
        <f t="shared" si="1"/>
        <v>2500</v>
      </c>
      <c r="M81"/>
    </row>
    <row r="82" spans="1:13" x14ac:dyDescent="0.3">
      <c r="A82" s="47" t="s">
        <v>12</v>
      </c>
      <c r="B82" s="14" t="s">
        <v>102</v>
      </c>
      <c r="C82">
        <v>500</v>
      </c>
      <c r="D82" s="12">
        <v>1</v>
      </c>
      <c r="E82" s="13">
        <f t="shared" si="1"/>
        <v>500</v>
      </c>
      <c r="M82"/>
    </row>
    <row r="83" spans="1:13" x14ac:dyDescent="0.3">
      <c r="A83" s="47" t="s">
        <v>14</v>
      </c>
      <c r="B83" s="14" t="s">
        <v>103</v>
      </c>
      <c r="C83">
        <v>13000</v>
      </c>
      <c r="D83" s="12">
        <v>1</v>
      </c>
      <c r="E83" s="13">
        <f t="shared" si="1"/>
        <v>13000</v>
      </c>
      <c r="M83"/>
    </row>
    <row r="84" spans="1:13" x14ac:dyDescent="0.3">
      <c r="A84" s="47" t="s">
        <v>22</v>
      </c>
      <c r="B84" s="14" t="s">
        <v>104</v>
      </c>
      <c r="C84">
        <v>1000</v>
      </c>
      <c r="D84" s="12">
        <v>1</v>
      </c>
      <c r="E84" s="13">
        <f t="shared" si="1"/>
        <v>1000</v>
      </c>
      <c r="M84"/>
    </row>
    <row r="85" spans="1:13" x14ac:dyDescent="0.3">
      <c r="A85" s="47"/>
      <c r="B85" s="14"/>
      <c r="E85" s="13">
        <f t="shared" si="1"/>
        <v>0</v>
      </c>
      <c r="M85"/>
    </row>
    <row r="86" spans="1:13" x14ac:dyDescent="0.3">
      <c r="A86" s="47"/>
      <c r="B86" s="14"/>
      <c r="E86" s="13">
        <f t="shared" si="1"/>
        <v>0</v>
      </c>
      <c r="M86"/>
    </row>
    <row r="87" spans="1:13" x14ac:dyDescent="0.3">
      <c r="E87" s="13">
        <f t="shared" si="1"/>
        <v>0</v>
      </c>
      <c r="M87"/>
    </row>
    <row r="88" spans="1:13" x14ac:dyDescent="0.3">
      <c r="B88" t="s">
        <v>80</v>
      </c>
      <c r="E88" s="13">
        <f>SUM(E2:E87)</f>
        <v>29000</v>
      </c>
    </row>
    <row r="89" spans="1:13" x14ac:dyDescent="0.3">
      <c r="M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96"/>
  <sheetViews>
    <sheetView topLeftCell="A67" zoomScale="99" workbookViewId="0">
      <selection activeCell="C29" sqref="C2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4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21600</v>
      </c>
      <c r="D28" s="28">
        <v>1</v>
      </c>
      <c r="E28" s="39">
        <f t="shared" si="0"/>
        <v>21600</v>
      </c>
    </row>
    <row r="29" spans="1:5" ht="15" thickBot="1" x14ac:dyDescent="0.35">
      <c r="A29" s="26" t="s">
        <v>8</v>
      </c>
      <c r="B29" s="27" t="s">
        <v>38</v>
      </c>
      <c r="C29" s="28">
        <v>24000</v>
      </c>
      <c r="D29" s="28">
        <v>1</v>
      </c>
      <c r="E29" s="39">
        <f t="shared" si="0"/>
        <v>24000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700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6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8500</v>
      </c>
      <c r="D52" s="28">
        <v>1</v>
      </c>
      <c r="E52" s="39">
        <f t="shared" si="0"/>
        <v>8500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800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1200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0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0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ref="E75:E76" si="2">C75*D75</f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2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5" si="3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3"/>
        <v>0</v>
      </c>
    </row>
    <row r="80" spans="1:13" x14ac:dyDescent="0.3">
      <c r="A80" s="47" t="s">
        <v>8</v>
      </c>
      <c r="B80" s="14" t="s">
        <v>100</v>
      </c>
      <c r="C80">
        <v>1250</v>
      </c>
      <c r="D80" s="12">
        <v>2</v>
      </c>
      <c r="E80" s="13">
        <f t="shared" si="3"/>
        <v>2500</v>
      </c>
    </row>
    <row r="81" spans="1:9" x14ac:dyDescent="0.3">
      <c r="A81" s="47" t="s">
        <v>10</v>
      </c>
      <c r="B81" s="14" t="s">
        <v>101</v>
      </c>
      <c r="C81">
        <v>2500</v>
      </c>
      <c r="D81" s="12">
        <v>1</v>
      </c>
      <c r="E81" s="13">
        <f t="shared" si="3"/>
        <v>2500</v>
      </c>
    </row>
    <row r="82" spans="1:9" x14ac:dyDescent="0.3">
      <c r="A82" s="47" t="s">
        <v>12</v>
      </c>
      <c r="B82" s="14" t="s">
        <v>106</v>
      </c>
      <c r="C82">
        <v>800</v>
      </c>
      <c r="D82" s="12">
        <v>1</v>
      </c>
      <c r="E82" s="13">
        <f t="shared" si="3"/>
        <v>800</v>
      </c>
    </row>
    <row r="83" spans="1:9" x14ac:dyDescent="0.3">
      <c r="A83" s="47" t="s">
        <v>14</v>
      </c>
      <c r="B83" s="14" t="s">
        <v>107</v>
      </c>
      <c r="C83">
        <v>800</v>
      </c>
      <c r="D83" s="12">
        <v>1</v>
      </c>
      <c r="E83" s="13">
        <f t="shared" si="3"/>
        <v>800</v>
      </c>
    </row>
    <row r="84" spans="1:9" x14ac:dyDescent="0.3">
      <c r="A84" s="47" t="s">
        <v>22</v>
      </c>
      <c r="B84" s="14" t="s">
        <v>105</v>
      </c>
      <c r="C84">
        <v>11500</v>
      </c>
      <c r="D84" s="12">
        <v>1</v>
      </c>
      <c r="E84" s="13">
        <f t="shared" si="3"/>
        <v>11500</v>
      </c>
      <c r="I84" s="51"/>
    </row>
    <row r="85" spans="1:9" x14ac:dyDescent="0.3">
      <c r="E85" s="13">
        <f t="shared" si="3"/>
        <v>0</v>
      </c>
    </row>
    <row r="86" spans="1:9" x14ac:dyDescent="0.3">
      <c r="B86" t="s">
        <v>80</v>
      </c>
      <c r="E86" s="13">
        <f>SUM(E2:E85)</f>
        <v>72200</v>
      </c>
      <c r="I86" s="51"/>
    </row>
    <row r="96" spans="1:9" x14ac:dyDescent="0.3">
      <c r="I96" s="5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2"/>
  <sheetViews>
    <sheetView topLeftCell="A52" zoomScale="80" zoomScaleNormal="55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5000/12</f>
        <v>416.66666666666669</v>
      </c>
      <c r="D3">
        <v>12</v>
      </c>
      <c r="E3" s="13">
        <f t="shared" ref="E3:E42" si="0">D3*C3</f>
        <v>5000</v>
      </c>
      <c r="J3" s="32"/>
    </row>
    <row r="4" spans="1:10" x14ac:dyDescent="0.3">
      <c r="A4" s="11" t="s">
        <v>8</v>
      </c>
      <c r="B4" t="s">
        <v>9</v>
      </c>
      <c r="C4" s="12">
        <f>5100/12</f>
        <v>425</v>
      </c>
      <c r="D4">
        <v>12</v>
      </c>
      <c r="E4" s="13">
        <f t="shared" si="0"/>
        <v>5100</v>
      </c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>
        <v>12</v>
      </c>
      <c r="E5" s="13">
        <f t="shared" si="0"/>
        <v>7100</v>
      </c>
    </row>
    <row r="6" spans="1:10" x14ac:dyDescent="0.3">
      <c r="A6" s="11" t="s">
        <v>12</v>
      </c>
      <c r="B6" t="s">
        <v>13</v>
      </c>
      <c r="C6" s="12">
        <f>9000/12</f>
        <v>750</v>
      </c>
      <c r="D6">
        <v>12</v>
      </c>
      <c r="E6" s="13">
        <f>D6*C6</f>
        <v>9000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4200/12</f>
        <v>350</v>
      </c>
      <c r="D10">
        <v>12</v>
      </c>
      <c r="E10" s="13">
        <f>D10*C10</f>
        <v>4200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f>5600/24</f>
        <v>233.33333333333334</v>
      </c>
      <c r="D16">
        <v>24</v>
      </c>
      <c r="E16" s="13">
        <f t="shared" si="0"/>
        <v>5600</v>
      </c>
      <c r="J16" s="32"/>
    </row>
    <row r="17" spans="1:11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11" x14ac:dyDescent="0.3">
      <c r="A18" s="11" t="s">
        <v>28</v>
      </c>
      <c r="B18" t="s">
        <v>29</v>
      </c>
      <c r="C18" s="12">
        <f>2800/12</f>
        <v>233.33333333333334</v>
      </c>
      <c r="D18">
        <v>12</v>
      </c>
      <c r="E18" s="13">
        <f t="shared" si="0"/>
        <v>2800</v>
      </c>
    </row>
    <row r="19" spans="1:11" x14ac:dyDescent="0.3">
      <c r="A19" s="11" t="s">
        <v>30</v>
      </c>
      <c r="B19" t="s">
        <v>31</v>
      </c>
      <c r="C19" s="12">
        <f>3500/12</f>
        <v>291.66666666666669</v>
      </c>
      <c r="D19">
        <v>12</v>
      </c>
      <c r="E19" s="13">
        <f t="shared" si="0"/>
        <v>3500</v>
      </c>
      <c r="K19" s="51"/>
    </row>
    <row r="20" spans="1:11" x14ac:dyDescent="0.3">
      <c r="A20" s="11" t="s">
        <v>32</v>
      </c>
      <c r="B20" t="s">
        <v>33</v>
      </c>
      <c r="C20" s="12">
        <f>2400/24</f>
        <v>100</v>
      </c>
      <c r="D20">
        <v>24</v>
      </c>
      <c r="E20" s="13">
        <f t="shared" si="0"/>
        <v>2400</v>
      </c>
      <c r="K20" s="51"/>
    </row>
    <row r="21" spans="1:11" x14ac:dyDescent="0.3">
      <c r="A21" s="11" t="s">
        <v>34</v>
      </c>
      <c r="B21" t="s">
        <v>35</v>
      </c>
      <c r="C21" s="12">
        <f>4300/12</f>
        <v>358.33333333333331</v>
      </c>
      <c r="D21">
        <v>12</v>
      </c>
      <c r="E21" s="13">
        <f t="shared" si="0"/>
        <v>4300</v>
      </c>
      <c r="K21" s="51"/>
    </row>
    <row r="22" spans="1:11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11" x14ac:dyDescent="0.3">
      <c r="A23" s="11" t="s">
        <v>68</v>
      </c>
      <c r="B23" t="s">
        <v>92</v>
      </c>
      <c r="C23" s="12">
        <v>400</v>
      </c>
      <c r="D23"/>
    </row>
    <row r="24" spans="1:11" x14ac:dyDescent="0.3">
      <c r="A24" s="11" t="s">
        <v>70</v>
      </c>
      <c r="B24" t="s">
        <v>94</v>
      </c>
      <c r="C24" s="12">
        <v>500</v>
      </c>
      <c r="D24"/>
    </row>
    <row r="25" spans="1:11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11" x14ac:dyDescent="0.3">
      <c r="A26" s="11"/>
      <c r="C26" s="12"/>
      <c r="D26"/>
      <c r="E26" s="13">
        <f t="shared" si="0"/>
        <v>0</v>
      </c>
    </row>
    <row r="27" spans="1:11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11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11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11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11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11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8500</v>
      </c>
      <c r="D52">
        <v>1</v>
      </c>
      <c r="E52" s="13">
        <f t="shared" si="1"/>
        <v>8500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6500/12</f>
        <v>541.66666666666663</v>
      </c>
      <c r="D61">
        <v>12</v>
      </c>
      <c r="E61" s="13">
        <f t="shared" si="1"/>
        <v>6500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f>6800/24</f>
        <v>283.33333333333331</v>
      </c>
      <c r="D69">
        <v>24</v>
      </c>
      <c r="E69" s="13">
        <f t="shared" si="1"/>
        <v>6800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0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7" t="s">
        <v>8</v>
      </c>
      <c r="B80" s="14" t="s">
        <v>120</v>
      </c>
      <c r="C80">
        <v>200</v>
      </c>
      <c r="D80" s="12">
        <v>1</v>
      </c>
      <c r="E80" s="13">
        <f t="shared" si="2"/>
        <v>200</v>
      </c>
    </row>
    <row r="82" spans="2:13" x14ac:dyDescent="0.3">
      <c r="B82" t="s">
        <v>80</v>
      </c>
      <c r="E82" s="13">
        <f>SUM(E2:E77)</f>
        <v>70800</v>
      </c>
      <c r="M8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97"/>
  <sheetViews>
    <sheetView topLeftCell="A80" zoomScale="89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32000</v>
      </c>
      <c r="D29">
        <v>1</v>
      </c>
      <c r="E29" s="13">
        <f t="shared" si="0"/>
        <v>32000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108</v>
      </c>
      <c r="C32" s="12">
        <f>8000/3</f>
        <v>2666.6666666666665</v>
      </c>
      <c r="D32">
        <v>3</v>
      </c>
      <c r="E32" s="13">
        <f t="shared" si="0"/>
        <v>8000</v>
      </c>
    </row>
    <row r="33" spans="1:5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</row>
    <row r="34" spans="1:5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</row>
    <row r="35" spans="1:5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5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5" x14ac:dyDescent="0.3">
      <c r="A37" s="11" t="s">
        <v>30</v>
      </c>
      <c r="B37" t="s">
        <v>90</v>
      </c>
      <c r="C37" s="12">
        <f>13000/11</f>
        <v>1181.8181818181818</v>
      </c>
      <c r="D37">
        <v>11</v>
      </c>
      <c r="E37" s="13">
        <f t="shared" si="0"/>
        <v>13000</v>
      </c>
    </row>
    <row r="38" spans="1:5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5" x14ac:dyDescent="0.3">
      <c r="C39" s="12"/>
      <c r="D39"/>
      <c r="E39" s="13">
        <f t="shared" si="0"/>
        <v>0</v>
      </c>
    </row>
    <row r="40" spans="1:5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5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5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5" x14ac:dyDescent="0.3">
      <c r="A43" s="11" t="s">
        <v>10</v>
      </c>
      <c r="B43" t="s">
        <v>47</v>
      </c>
      <c r="C43" s="12"/>
      <c r="E43" s="13">
        <f>D44*C43</f>
        <v>0</v>
      </c>
    </row>
    <row r="44" spans="1:5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5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5" x14ac:dyDescent="0.3">
      <c r="C46" s="12"/>
      <c r="D46"/>
      <c r="E46" s="13">
        <f t="shared" si="1"/>
        <v>0</v>
      </c>
    </row>
    <row r="47" spans="1:5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5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9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9" x14ac:dyDescent="0.3">
      <c r="A50" s="11"/>
      <c r="C50" s="12"/>
      <c r="D50"/>
      <c r="E50" s="13">
        <f t="shared" si="1"/>
        <v>0</v>
      </c>
    </row>
    <row r="51" spans="1:9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9" x14ac:dyDescent="0.3">
      <c r="A52" s="11" t="s">
        <v>6</v>
      </c>
      <c r="B52" s="14" t="s">
        <v>54</v>
      </c>
      <c r="C52" s="12">
        <v>7500</v>
      </c>
      <c r="D52">
        <v>1</v>
      </c>
      <c r="E52" s="13">
        <f t="shared" si="1"/>
        <v>7500</v>
      </c>
    </row>
    <row r="53" spans="1:9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9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9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9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9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9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9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9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9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9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9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9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  <c r="I64" s="51"/>
    </row>
    <row r="65" spans="1:5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8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101</v>
      </c>
      <c r="C80">
        <v>3500</v>
      </c>
      <c r="D80" s="12">
        <v>1</v>
      </c>
      <c r="E80" s="13">
        <f t="shared" si="2"/>
        <v>3500</v>
      </c>
    </row>
    <row r="81" spans="1:11" x14ac:dyDescent="0.3">
      <c r="A81" s="47" t="s">
        <v>10</v>
      </c>
      <c r="B81" s="14" t="s">
        <v>109</v>
      </c>
      <c r="C81">
        <v>1200</v>
      </c>
      <c r="D81" s="12">
        <v>1</v>
      </c>
      <c r="E81" s="13">
        <f t="shared" si="2"/>
        <v>1200</v>
      </c>
    </row>
    <row r="82" spans="1:11" x14ac:dyDescent="0.3">
      <c r="A82" s="47" t="s">
        <v>12</v>
      </c>
      <c r="B82" s="14" t="s">
        <v>110</v>
      </c>
      <c r="C82">
        <v>100</v>
      </c>
      <c r="D82" s="12">
        <v>5</v>
      </c>
      <c r="E82" s="13">
        <f t="shared" si="2"/>
        <v>500</v>
      </c>
    </row>
    <row r="83" spans="1:11" x14ac:dyDescent="0.3">
      <c r="A83" s="47" t="s">
        <v>14</v>
      </c>
      <c r="B83" s="14" t="s">
        <v>111</v>
      </c>
      <c r="C83">
        <v>200</v>
      </c>
      <c r="D83" s="12">
        <v>1</v>
      </c>
      <c r="E83" s="13">
        <f t="shared" si="2"/>
        <v>200</v>
      </c>
    </row>
    <row r="84" spans="1:11" x14ac:dyDescent="0.3">
      <c r="A84" s="47" t="s">
        <v>22</v>
      </c>
      <c r="B84" s="14" t="s">
        <v>107</v>
      </c>
      <c r="C84">
        <v>600</v>
      </c>
      <c r="D84" s="12">
        <v>1</v>
      </c>
      <c r="E84" s="13">
        <f t="shared" si="2"/>
        <v>600</v>
      </c>
    </row>
    <row r="85" spans="1:11" x14ac:dyDescent="0.3">
      <c r="A85" s="47" t="s">
        <v>24</v>
      </c>
      <c r="B85" s="14" t="s">
        <v>112</v>
      </c>
      <c r="C85">
        <v>200</v>
      </c>
      <c r="D85" s="12">
        <v>1</v>
      </c>
      <c r="E85" s="13">
        <f t="shared" si="2"/>
        <v>200</v>
      </c>
    </row>
    <row r="86" spans="1:11" x14ac:dyDescent="0.3">
      <c r="A86" s="47" t="s">
        <v>26</v>
      </c>
      <c r="B86" s="14" t="s">
        <v>113</v>
      </c>
      <c r="C86">
        <v>13000</v>
      </c>
      <c r="D86" s="12">
        <v>1</v>
      </c>
      <c r="E86" s="13">
        <f t="shared" si="2"/>
        <v>13000</v>
      </c>
    </row>
    <row r="87" spans="1:11" x14ac:dyDescent="0.3">
      <c r="A87" s="47" t="s">
        <v>28</v>
      </c>
      <c r="B87" s="14" t="s">
        <v>121</v>
      </c>
      <c r="C87">
        <v>1500</v>
      </c>
      <c r="D87" s="12">
        <v>1</v>
      </c>
      <c r="E87" s="13">
        <f t="shared" si="2"/>
        <v>1500</v>
      </c>
    </row>
    <row r="88" spans="1:11" x14ac:dyDescent="0.3">
      <c r="E88" s="13">
        <f t="shared" si="2"/>
        <v>0</v>
      </c>
    </row>
    <row r="89" spans="1:11" x14ac:dyDescent="0.3">
      <c r="B89" t="s">
        <v>80</v>
      </c>
      <c r="E89" s="13">
        <f>SUM(E2:E88)</f>
        <v>81200</v>
      </c>
    </row>
    <row r="93" spans="1:11" x14ac:dyDescent="0.3">
      <c r="K93" s="51"/>
    </row>
    <row r="96" spans="1:11" x14ac:dyDescent="0.3">
      <c r="J96" s="32"/>
    </row>
    <row r="97" spans="10:10" x14ac:dyDescent="0.3">
      <c r="J97" s="3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96"/>
  <sheetViews>
    <sheetView topLeftCell="A77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4800/12</f>
        <v>400</v>
      </c>
      <c r="D3"/>
      <c r="E3" s="13">
        <f t="shared" ref="E3:E42" si="0">D3*C3</f>
        <v>0</v>
      </c>
    </row>
    <row r="4" spans="1:10" x14ac:dyDescent="0.3">
      <c r="A4" s="11" t="s">
        <v>8</v>
      </c>
      <c r="B4" t="s">
        <v>9</v>
      </c>
      <c r="C4" s="12">
        <f>5100/12</f>
        <v>425</v>
      </c>
      <c r="D4">
        <v>12</v>
      </c>
      <c r="E4" s="13">
        <f t="shared" si="0"/>
        <v>5100</v>
      </c>
      <c r="I4" s="51"/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8000/12</f>
        <v>666.66666666666663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G7" s="43"/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4500/12</f>
        <v>375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10500/10</f>
        <v>1050</v>
      </c>
      <c r="D14">
        <v>10</v>
      </c>
      <c r="E14" s="13">
        <f t="shared" si="0"/>
        <v>10500</v>
      </c>
    </row>
    <row r="15" spans="1:10" x14ac:dyDescent="0.3">
      <c r="A15" s="11" t="s">
        <v>22</v>
      </c>
      <c r="B15" t="s">
        <v>23</v>
      </c>
      <c r="C15" s="12">
        <v>291.66666666666669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f>3000/12</f>
        <v>250</v>
      </c>
      <c r="D16">
        <v>12</v>
      </c>
      <c r="E16" s="13">
        <f t="shared" si="0"/>
        <v>3000</v>
      </c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2700/12</f>
        <v>225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f>3100/12</f>
        <v>258.33333333333331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83.333333333333329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f>3300/12</f>
        <v>275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5500/12</f>
        <v>458.33333333333331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24000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6500/12</f>
        <v>541.66666666666663</v>
      </c>
      <c r="D61">
        <v>12</v>
      </c>
      <c r="E61" s="13">
        <f t="shared" si="1"/>
        <v>6500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f>13000/24</f>
        <v>541.66666666666663</v>
      </c>
      <c r="D66">
        <v>24</v>
      </c>
      <c r="E66" s="13">
        <f t="shared" si="1"/>
        <v>13000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f>6900/12</f>
        <v>575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f>3750/12</f>
        <v>312.5</v>
      </c>
      <c r="D70">
        <v>12</v>
      </c>
      <c r="E70" s="13">
        <f t="shared" si="1"/>
        <v>3750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8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101</v>
      </c>
      <c r="C80">
        <v>3000</v>
      </c>
      <c r="D80" s="12">
        <v>1</v>
      </c>
      <c r="E80" s="13">
        <f t="shared" si="2"/>
        <v>3000</v>
      </c>
    </row>
    <row r="81" spans="1:10" x14ac:dyDescent="0.3">
      <c r="A81" s="47" t="s">
        <v>10</v>
      </c>
      <c r="B81" s="14" t="s">
        <v>102</v>
      </c>
      <c r="C81">
        <v>1200</v>
      </c>
      <c r="D81" s="12">
        <v>1</v>
      </c>
      <c r="E81" s="13">
        <f t="shared" si="2"/>
        <v>1200</v>
      </c>
    </row>
    <row r="82" spans="1:10" x14ac:dyDescent="0.3">
      <c r="A82" s="47" t="s">
        <v>14</v>
      </c>
      <c r="B82" s="14" t="s">
        <v>114</v>
      </c>
      <c r="C82">
        <v>700</v>
      </c>
      <c r="D82" s="12">
        <v>1</v>
      </c>
      <c r="E82" s="13">
        <f t="shared" si="2"/>
        <v>700</v>
      </c>
    </row>
    <row r="83" spans="1:10" x14ac:dyDescent="0.3">
      <c r="A83" s="47" t="s">
        <v>22</v>
      </c>
      <c r="B83" s="14" t="s">
        <v>115</v>
      </c>
      <c r="C83">
        <v>500</v>
      </c>
      <c r="D83" s="12">
        <v>1</v>
      </c>
      <c r="E83" s="13">
        <f t="shared" si="2"/>
        <v>500</v>
      </c>
    </row>
    <row r="84" spans="1:10" x14ac:dyDescent="0.3">
      <c r="A84" s="47" t="s">
        <v>24</v>
      </c>
      <c r="B84" s="14" t="s">
        <v>116</v>
      </c>
      <c r="C84">
        <v>400</v>
      </c>
      <c r="D84" s="12">
        <v>1</v>
      </c>
      <c r="E84" s="13">
        <f t="shared" si="2"/>
        <v>400</v>
      </c>
    </row>
    <row r="85" spans="1:10" x14ac:dyDescent="0.3">
      <c r="A85" s="47" t="s">
        <v>26</v>
      </c>
      <c r="B85" s="14" t="s">
        <v>117</v>
      </c>
      <c r="C85">
        <v>800</v>
      </c>
      <c r="D85" s="12">
        <v>1</v>
      </c>
      <c r="E85" s="13">
        <f t="shared" si="2"/>
        <v>800</v>
      </c>
    </row>
    <row r="86" spans="1:10" x14ac:dyDescent="0.3">
      <c r="A86" s="47"/>
      <c r="B86" s="14"/>
      <c r="E86" s="13">
        <f t="shared" si="2"/>
        <v>0</v>
      </c>
    </row>
    <row r="87" spans="1:10" x14ac:dyDescent="0.3">
      <c r="A87" s="47"/>
      <c r="B87" s="14"/>
      <c r="E87" s="13">
        <f t="shared" si="2"/>
        <v>0</v>
      </c>
    </row>
    <row r="88" spans="1:10" x14ac:dyDescent="0.3">
      <c r="A88" s="47"/>
      <c r="E88" s="13">
        <f t="shared" si="2"/>
        <v>0</v>
      </c>
    </row>
    <row r="89" spans="1:10" x14ac:dyDescent="0.3">
      <c r="B89" t="s">
        <v>80</v>
      </c>
      <c r="E89" s="13">
        <f>SUM(E2:E88)</f>
        <v>53950</v>
      </c>
    </row>
    <row r="90" spans="1:10" x14ac:dyDescent="0.3">
      <c r="J90" s="51"/>
    </row>
    <row r="92" spans="1:10" x14ac:dyDescent="0.3">
      <c r="J92" s="51"/>
    </row>
    <row r="94" spans="1:10" x14ac:dyDescent="0.3">
      <c r="J94" s="51"/>
    </row>
    <row r="95" spans="1:10" x14ac:dyDescent="0.3">
      <c r="J95" s="32"/>
    </row>
    <row r="96" spans="1:10" x14ac:dyDescent="0.3">
      <c r="J96" s="5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05"/>
  <sheetViews>
    <sheetView topLeftCell="A72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4200/12</f>
        <v>350</v>
      </c>
      <c r="D10">
        <v>12</v>
      </c>
      <c r="E10" s="13">
        <f>D10*C10</f>
        <v>4200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3900/36</f>
        <v>108.33333333333333</v>
      </c>
      <c r="D20">
        <v>36</v>
      </c>
      <c r="E20" s="13">
        <f t="shared" si="0"/>
        <v>3900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f>3300/12</f>
        <v>275</v>
      </c>
      <c r="D22">
        <v>12</v>
      </c>
      <c r="E22" s="13">
        <f t="shared" si="0"/>
        <v>3300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50000</v>
      </c>
      <c r="D28">
        <v>1</v>
      </c>
      <c r="E28" s="13">
        <f t="shared" si="0"/>
        <v>50000</v>
      </c>
    </row>
    <row r="29" spans="1:5" x14ac:dyDescent="0.3">
      <c r="A29" s="11" t="s">
        <v>8</v>
      </c>
      <c r="B29" t="s">
        <v>38</v>
      </c>
      <c r="C29" s="12">
        <v>30000</v>
      </c>
      <c r="D29">
        <v>1</v>
      </c>
      <c r="E29" s="13">
        <f t="shared" si="0"/>
        <v>30000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5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</row>
    <row r="34" spans="1:5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</row>
    <row r="35" spans="1:5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5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5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5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5" x14ac:dyDescent="0.3">
      <c r="C39" s="12"/>
      <c r="D39"/>
      <c r="E39" s="13">
        <f t="shared" si="0"/>
        <v>0</v>
      </c>
    </row>
    <row r="40" spans="1:5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5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5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5" x14ac:dyDescent="0.3">
      <c r="A43" s="11" t="s">
        <v>10</v>
      </c>
      <c r="B43" t="s">
        <v>47</v>
      </c>
      <c r="C43" s="12"/>
      <c r="E43" s="13">
        <f>D44*C43</f>
        <v>0</v>
      </c>
    </row>
    <row r="44" spans="1:5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5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5" x14ac:dyDescent="0.3">
      <c r="C46" s="12"/>
      <c r="D46"/>
      <c r="E46" s="13">
        <f t="shared" si="1"/>
        <v>0</v>
      </c>
    </row>
    <row r="47" spans="1:5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5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6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118</v>
      </c>
      <c r="C80">
        <v>600</v>
      </c>
      <c r="D80" s="12">
        <v>1</v>
      </c>
      <c r="E80" s="13">
        <f t="shared" si="2"/>
        <v>600</v>
      </c>
    </row>
    <row r="81" spans="1:12" x14ac:dyDescent="0.3">
      <c r="A81" s="47" t="s">
        <v>10</v>
      </c>
      <c r="B81" s="14" t="s">
        <v>119</v>
      </c>
      <c r="C81">
        <f>3250/14</f>
        <v>232.14285714285714</v>
      </c>
      <c r="D81" s="12">
        <v>14</v>
      </c>
      <c r="E81" s="13">
        <f t="shared" si="2"/>
        <v>3250</v>
      </c>
    </row>
    <row r="82" spans="1:12" x14ac:dyDescent="0.3">
      <c r="A82" s="47" t="s">
        <v>12</v>
      </c>
      <c r="B82" s="14" t="s">
        <v>101</v>
      </c>
      <c r="C82">
        <v>3000</v>
      </c>
      <c r="D82" s="12">
        <v>1</v>
      </c>
      <c r="E82" s="13">
        <f t="shared" si="2"/>
        <v>3000</v>
      </c>
    </row>
    <row r="83" spans="1:12" x14ac:dyDescent="0.3">
      <c r="A83" s="47" t="s">
        <v>14</v>
      </c>
      <c r="B83" s="14" t="s">
        <v>100</v>
      </c>
      <c r="C83">
        <v>1500</v>
      </c>
      <c r="D83" s="12">
        <v>3</v>
      </c>
      <c r="E83" s="13">
        <f t="shared" si="2"/>
        <v>4500</v>
      </c>
    </row>
    <row r="84" spans="1:12" x14ac:dyDescent="0.3">
      <c r="A84" s="47" t="s">
        <v>22</v>
      </c>
      <c r="B84" s="14" t="s">
        <v>107</v>
      </c>
      <c r="C84">
        <v>800</v>
      </c>
      <c r="D84" s="12">
        <v>1</v>
      </c>
      <c r="E84" s="13">
        <f t="shared" si="2"/>
        <v>800</v>
      </c>
    </row>
    <row r="85" spans="1:12" x14ac:dyDescent="0.3">
      <c r="A85" s="47"/>
      <c r="B85" s="14"/>
      <c r="E85" s="13">
        <f t="shared" si="2"/>
        <v>0</v>
      </c>
    </row>
    <row r="86" spans="1:12" x14ac:dyDescent="0.3">
      <c r="E86" s="13">
        <f t="shared" si="2"/>
        <v>0</v>
      </c>
    </row>
    <row r="87" spans="1:12" x14ac:dyDescent="0.3">
      <c r="B87" t="s">
        <v>80</v>
      </c>
      <c r="E87" s="13">
        <f>SUM(E2:E86)</f>
        <v>109050</v>
      </c>
    </row>
    <row r="88" spans="1:12" x14ac:dyDescent="0.3">
      <c r="L88" s="51"/>
    </row>
    <row r="89" spans="1:12" x14ac:dyDescent="0.3">
      <c r="L89" s="51"/>
    </row>
    <row r="90" spans="1:12" x14ac:dyDescent="0.3">
      <c r="L90" s="51"/>
    </row>
    <row r="91" spans="1:12" x14ac:dyDescent="0.3">
      <c r="J91" s="43"/>
    </row>
    <row r="92" spans="1:12" x14ac:dyDescent="0.3">
      <c r="L92" s="51"/>
    </row>
    <row r="93" spans="1:12" x14ac:dyDescent="0.3">
      <c r="L93" s="51"/>
    </row>
    <row r="94" spans="1:12" x14ac:dyDescent="0.3">
      <c r="L94" s="51"/>
    </row>
    <row r="105" spans="10:10" x14ac:dyDescent="0.3">
      <c r="J105" s="2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94"/>
  <sheetViews>
    <sheetView tabSelected="1" topLeftCell="A73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f>9000/12</f>
        <v>750</v>
      </c>
      <c r="D6">
        <v>12</v>
      </c>
      <c r="E6" s="13">
        <f>D6*C6</f>
        <v>9000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30000</v>
      </c>
      <c r="D28"/>
      <c r="E28" s="13">
        <f t="shared" si="0"/>
        <v>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50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83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f>6500/12</f>
        <v>541.66666666666663</v>
      </c>
      <c r="D61">
        <v>12</v>
      </c>
      <c r="E61" s="13">
        <f t="shared" si="1"/>
        <v>6500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A72" s="11" t="s">
        <v>98</v>
      </c>
      <c r="B72" s="14" t="s">
        <v>99</v>
      </c>
      <c r="C72" s="12">
        <v>800</v>
      </c>
      <c r="D72"/>
      <c r="M72" s="33"/>
    </row>
    <row r="73" spans="1:13" x14ac:dyDescent="0.3">
      <c r="C73" s="12"/>
      <c r="D73"/>
      <c r="E73" s="13">
        <f t="shared" si="1"/>
        <v>0</v>
      </c>
      <c r="M73" s="3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 s="33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 s="33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 s="33"/>
    </row>
    <row r="77" spans="1:13" x14ac:dyDescent="0.3">
      <c r="A77" s="11"/>
      <c r="B77" s="14"/>
      <c r="C77" s="12"/>
      <c r="D77"/>
      <c r="E77" s="13">
        <f t="shared" si="1"/>
        <v>0</v>
      </c>
      <c r="M77" s="33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" si="2">D78*C78</f>
        <v>0</v>
      </c>
      <c r="M78" s="33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 s="33"/>
    </row>
    <row r="80" spans="1:13" x14ac:dyDescent="0.3">
      <c r="A80" s="47" t="s">
        <v>8</v>
      </c>
      <c r="B80" s="14" t="s">
        <v>100</v>
      </c>
      <c r="C80">
        <v>7000</v>
      </c>
      <c r="D80" s="12">
        <v>1</v>
      </c>
      <c r="E80" s="13">
        <f t="shared" si="1"/>
        <v>7000</v>
      </c>
      <c r="M80" s="33"/>
    </row>
    <row r="81" spans="1:13" x14ac:dyDescent="0.3">
      <c r="A81" s="47" t="s">
        <v>10</v>
      </c>
      <c r="B81" s="14" t="s">
        <v>117</v>
      </c>
      <c r="C81">
        <v>500</v>
      </c>
      <c r="D81" s="12">
        <v>1</v>
      </c>
      <c r="E81" s="13">
        <f t="shared" si="1"/>
        <v>500</v>
      </c>
      <c r="M81" s="33"/>
    </row>
    <row r="82" spans="1:13" x14ac:dyDescent="0.3">
      <c r="E82" s="13">
        <f t="shared" si="1"/>
        <v>0</v>
      </c>
      <c r="M82" s="33"/>
    </row>
    <row r="83" spans="1:13" x14ac:dyDescent="0.3">
      <c r="E83" s="13">
        <f t="shared" si="1"/>
        <v>0</v>
      </c>
      <c r="M83" s="33"/>
    </row>
    <row r="84" spans="1:13" x14ac:dyDescent="0.3">
      <c r="B84" t="s">
        <v>80</v>
      </c>
      <c r="E84" s="13">
        <f>SUM(E2:E83)</f>
        <v>28500</v>
      </c>
    </row>
    <row r="90" spans="1:13" x14ac:dyDescent="0.3">
      <c r="H90" s="43"/>
      <c r="K90" s="51"/>
    </row>
    <row r="92" spans="1:13" x14ac:dyDescent="0.3">
      <c r="K92" s="51"/>
    </row>
    <row r="94" spans="1:13" x14ac:dyDescent="0.3">
      <c r="K94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Expence-15</vt:lpstr>
      <vt:lpstr>Expence-16</vt:lpstr>
      <vt:lpstr>Expence-17</vt:lpstr>
      <vt:lpstr>Expence-18</vt:lpstr>
      <vt:lpstr>Expence-19</vt:lpstr>
      <vt:lpstr>Expence-20</vt:lpstr>
      <vt:lpstr>Expence-21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2024-03-17T13:04:46Z</dcterms:modified>
</cp:coreProperties>
</file>
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Feb\"/>
    </mc:Choice>
  </mc:AlternateContent>
  <xr:revisionPtr revIDLastSave="0" documentId="13_ncr:1_{13616373-7DB3-4781-A63D-EC988ADD1C07}" xr6:coauthVersionLast="47" xr6:coauthVersionMax="47" xr10:uidLastSave="{00000000-0000-0000-0000-000000000000}"/>
  <bookViews>
    <workbookView xWindow="11424" yWindow="0" windowWidth="11712" windowHeight="12336" tabRatio="658" firstSheet="5" activeTab="7" xr2:uid="{00000000-000D-0000-FFFF-FFFF00000000}"/>
  </bookViews>
  <sheets>
    <sheet name="Summary" sheetId="8" r:id="rId1"/>
    <sheet name="Expence-1" sheetId="1" r:id="rId2"/>
    <sheet name="Expence-2" sheetId="2" r:id="rId3"/>
    <sheet name="Expence-3" sheetId="3" r:id="rId4"/>
    <sheet name="Expence-4" sheetId="4" r:id="rId5"/>
    <sheet name="Expence-5" sheetId="5" r:id="rId6"/>
    <sheet name="Expence-6" sheetId="6" r:id="rId7"/>
    <sheet name="Expence-7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3" l="1"/>
  <c r="E23" i="3"/>
  <c r="E22" i="3"/>
  <c r="C24" i="3"/>
  <c r="E84" i="3"/>
  <c r="E83" i="3"/>
  <c r="E82" i="3"/>
  <c r="C65" i="3"/>
  <c r="C61" i="3"/>
  <c r="C5" i="3"/>
  <c r="C4" i="3"/>
  <c r="C6" i="3"/>
  <c r="C20" i="3"/>
  <c r="C19" i="3"/>
  <c r="C15" i="3"/>
  <c r="C10" i="3"/>
  <c r="C16" i="3"/>
  <c r="C21" i="3"/>
  <c r="E81" i="3"/>
  <c r="E80" i="3"/>
  <c r="C61" i="7"/>
  <c r="E80" i="7"/>
  <c r="E81" i="7"/>
  <c r="E83" i="7"/>
  <c r="E80" i="6" l="1"/>
  <c r="E83" i="6"/>
  <c r="E82" i="6"/>
  <c r="E81" i="6"/>
  <c r="E83" i="5"/>
  <c r="E82" i="5"/>
  <c r="E81" i="5"/>
  <c r="E80" i="5"/>
  <c r="C6" i="5"/>
  <c r="C19" i="5"/>
  <c r="C10" i="5"/>
  <c r="E25" i="5"/>
  <c r="G25" i="8" s="1"/>
  <c r="C24" i="5"/>
  <c r="C18" i="5"/>
  <c r="C16" i="5"/>
  <c r="C21" i="5"/>
  <c r="C69" i="5"/>
  <c r="C5" i="5"/>
  <c r="C3" i="5"/>
  <c r="C4" i="5"/>
  <c r="E83" i="4"/>
  <c r="E82" i="4"/>
  <c r="E81" i="4"/>
  <c r="E80" i="4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J80" i="8"/>
  <c r="J81" i="8"/>
  <c r="J82" i="8"/>
  <c r="I72" i="8"/>
  <c r="H72" i="8"/>
  <c r="H77" i="8"/>
  <c r="G72" i="8"/>
  <c r="G77" i="8"/>
  <c r="F72" i="8"/>
  <c r="F77" i="8"/>
  <c r="E77" i="8"/>
  <c r="D72" i="8"/>
  <c r="D77" i="8"/>
  <c r="C72" i="8"/>
  <c r="C77" i="8"/>
  <c r="C79" i="8"/>
  <c r="E72" i="3"/>
  <c r="E72" i="8" s="1"/>
  <c r="E72" i="2"/>
  <c r="C42" i="1"/>
  <c r="I22" i="8"/>
  <c r="I23" i="8"/>
  <c r="I24" i="8"/>
  <c r="I25" i="8"/>
  <c r="F25" i="8"/>
  <c r="E23" i="8"/>
  <c r="E24" i="8"/>
  <c r="E79" i="6"/>
  <c r="H79" i="8" s="1"/>
  <c r="E78" i="6"/>
  <c r="H78" i="8" s="1"/>
  <c r="E79" i="5"/>
  <c r="G79" i="8" s="1"/>
  <c r="E78" i="5"/>
  <c r="G78" i="8" s="1"/>
  <c r="E79" i="4"/>
  <c r="F79" i="8" s="1"/>
  <c r="E78" i="4"/>
  <c r="F78" i="8" s="1"/>
  <c r="E79" i="3"/>
  <c r="E79" i="8" s="1"/>
  <c r="E78" i="3"/>
  <c r="E78" i="8" s="1"/>
  <c r="E79" i="2"/>
  <c r="D79" i="8" s="1"/>
  <c r="E78" i="2"/>
  <c r="D78" i="8" s="1"/>
  <c r="E79" i="1"/>
  <c r="E78" i="1"/>
  <c r="C78" i="8" s="1"/>
  <c r="E38" i="1"/>
  <c r="C38" i="8" s="1"/>
  <c r="E38" i="2"/>
  <c r="D38" i="8" s="1"/>
  <c r="E38" i="3"/>
  <c r="E38" i="8" s="1"/>
  <c r="E38" i="4"/>
  <c r="F38" i="8" s="1"/>
  <c r="E38" i="5"/>
  <c r="G38" i="8" s="1"/>
  <c r="E38" i="6"/>
  <c r="H38" i="8" s="1"/>
  <c r="E82" i="7"/>
  <c r="E79" i="7"/>
  <c r="I79" i="8" s="1"/>
  <c r="E77" i="7"/>
  <c r="I77" i="8" s="1"/>
  <c r="E78" i="7"/>
  <c r="I78" i="8" s="1"/>
  <c r="E38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E23" i="5"/>
  <c r="G23" i="8" s="1"/>
  <c r="E22" i="8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6" i="1"/>
  <c r="C26" i="8" s="1"/>
  <c r="E24" i="5"/>
  <c r="G24" i="8" s="1"/>
  <c r="E24" i="4"/>
  <c r="F24" i="8" s="1"/>
  <c r="E25" i="3"/>
  <c r="E25" i="8" s="1"/>
  <c r="E22" i="2"/>
  <c r="D22" i="8" s="1"/>
  <c r="C58" i="1"/>
  <c r="E22" i="5"/>
  <c r="G22" i="8" s="1"/>
  <c r="E23" i="4"/>
  <c r="F23" i="8" s="1"/>
  <c r="E22" i="4"/>
  <c r="F22" i="8" s="1"/>
  <c r="E35" i="1"/>
  <c r="C35" i="8" s="1"/>
  <c r="E22" i="1"/>
  <c r="C22" i="8" s="1"/>
  <c r="E35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6" i="2"/>
  <c r="D26" i="8" s="1"/>
  <c r="E27" i="2"/>
  <c r="D27" i="8" s="1"/>
  <c r="E28" i="2"/>
  <c r="D28" i="8" s="1"/>
  <c r="E29" i="2"/>
  <c r="D29" i="8" s="1"/>
  <c r="E30" i="2"/>
  <c r="D30" i="8" s="1"/>
  <c r="E31" i="2"/>
  <c r="D31" i="8" s="1"/>
  <c r="E32" i="2"/>
  <c r="D32" i="8" s="1"/>
  <c r="E33" i="2"/>
  <c r="D33" i="8" s="1"/>
  <c r="E34" i="2"/>
  <c r="D34" i="8" s="1"/>
  <c r="E36" i="2"/>
  <c r="D36" i="8" s="1"/>
  <c r="E37" i="2"/>
  <c r="D37" i="8" s="1"/>
  <c r="E39" i="2"/>
  <c r="D39" i="8" s="1"/>
  <c r="E40" i="2"/>
  <c r="D40" i="8" s="1"/>
  <c r="E41" i="2"/>
  <c r="D41" i="8" s="1"/>
  <c r="E42" i="2"/>
  <c r="D42" i="8" s="1"/>
  <c r="E43" i="2"/>
  <c r="D43" i="8" s="1"/>
  <c r="E44" i="2"/>
  <c r="D44" i="8" s="1"/>
  <c r="E45" i="2"/>
  <c r="D45" i="8" s="1"/>
  <c r="E46" i="2"/>
  <c r="D46" i="8" s="1"/>
  <c r="E47" i="2"/>
  <c r="D47" i="8" s="1"/>
  <c r="E48" i="2"/>
  <c r="D48" i="8" s="1"/>
  <c r="E49" i="2"/>
  <c r="D49" i="8" s="1"/>
  <c r="E50" i="2"/>
  <c r="D50" i="8" s="1"/>
  <c r="E51" i="2"/>
  <c r="D51" i="8" s="1"/>
  <c r="E52" i="2"/>
  <c r="D52" i="8" s="1"/>
  <c r="E53" i="2"/>
  <c r="D53" i="8" s="1"/>
  <c r="E54" i="2"/>
  <c r="D54" i="8" s="1"/>
  <c r="E55" i="2"/>
  <c r="D55" i="8" s="1"/>
  <c r="E56" i="2"/>
  <c r="D56" i="8" s="1"/>
  <c r="E57" i="2"/>
  <c r="D57" i="8" s="1"/>
  <c r="E58" i="2"/>
  <c r="D58" i="8" s="1"/>
  <c r="E59" i="2"/>
  <c r="D59" i="8" s="1"/>
  <c r="E60" i="2"/>
  <c r="D60" i="8" s="1"/>
  <c r="E61" i="2"/>
  <c r="D61" i="8" s="1"/>
  <c r="E62" i="2"/>
  <c r="D62" i="8" s="1"/>
  <c r="E63" i="2"/>
  <c r="D63" i="8" s="1"/>
  <c r="E64" i="2"/>
  <c r="D64" i="8" s="1"/>
  <c r="E65" i="2"/>
  <c r="D65" i="8" s="1"/>
  <c r="E66" i="2"/>
  <c r="D66" i="8" s="1"/>
  <c r="E67" i="2"/>
  <c r="D67" i="8" s="1"/>
  <c r="E68" i="2"/>
  <c r="D68" i="8" s="1"/>
  <c r="E69" i="2"/>
  <c r="D69" i="8" s="1"/>
  <c r="E70" i="2"/>
  <c r="D70" i="8" s="1"/>
  <c r="E71" i="2"/>
  <c r="D71" i="8" s="1"/>
  <c r="E73" i="2"/>
  <c r="D73" i="8" s="1"/>
  <c r="E74" i="2"/>
  <c r="D74" i="8" s="1"/>
  <c r="E75" i="2"/>
  <c r="D75" i="8" s="1"/>
  <c r="E76" i="2"/>
  <c r="D76" i="8" s="1"/>
  <c r="E3" i="2"/>
  <c r="E37" i="6"/>
  <c r="H37" i="8" s="1"/>
  <c r="E36" i="6"/>
  <c r="H36" i="8" s="1"/>
  <c r="E37" i="5"/>
  <c r="G37" i="8" s="1"/>
  <c r="E36" i="5"/>
  <c r="G36" i="8" s="1"/>
  <c r="E37" i="4"/>
  <c r="F37" i="8" s="1"/>
  <c r="E36" i="4"/>
  <c r="F36" i="8" s="1"/>
  <c r="E37" i="3"/>
  <c r="E37" i="8" s="1"/>
  <c r="E36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1" i="3"/>
  <c r="E71" i="8" s="1"/>
  <c r="E70" i="3"/>
  <c r="E70" i="8" s="1"/>
  <c r="D3" i="8" l="1"/>
  <c r="D83" i="8" s="1"/>
  <c r="E76" i="7" l="1"/>
  <c r="I76" i="8" s="1"/>
  <c r="E75" i="7"/>
  <c r="I75" i="8" s="1"/>
  <c r="E74" i="7"/>
  <c r="I74" i="8" s="1"/>
  <c r="E73" i="7"/>
  <c r="I73" i="8" s="1"/>
  <c r="E71" i="7"/>
  <c r="I71" i="8" s="1"/>
  <c r="E70" i="7"/>
  <c r="I70" i="8" s="1"/>
  <c r="E69" i="7"/>
  <c r="I69" i="8" s="1"/>
  <c r="E68" i="7"/>
  <c r="I68" i="8" s="1"/>
  <c r="E67" i="7"/>
  <c r="I67" i="8" s="1"/>
  <c r="E66" i="7"/>
  <c r="I66" i="8" s="1"/>
  <c r="E65" i="7"/>
  <c r="I65" i="8" s="1"/>
  <c r="E64" i="7"/>
  <c r="I64" i="8" s="1"/>
  <c r="E63" i="7"/>
  <c r="I63" i="8" s="1"/>
  <c r="E62" i="7"/>
  <c r="I62" i="8" s="1"/>
  <c r="E61" i="7"/>
  <c r="E60" i="7"/>
  <c r="I60" i="8" s="1"/>
  <c r="E59" i="7"/>
  <c r="I59" i="8" s="1"/>
  <c r="E58" i="7"/>
  <c r="I58" i="8" s="1"/>
  <c r="E57" i="7"/>
  <c r="I57" i="8" s="1"/>
  <c r="E56" i="7"/>
  <c r="I56" i="8" s="1"/>
  <c r="E55" i="7"/>
  <c r="I55" i="8" s="1"/>
  <c r="E54" i="7"/>
  <c r="I54" i="8" s="1"/>
  <c r="E53" i="7"/>
  <c r="I53" i="8" s="1"/>
  <c r="E52" i="7"/>
  <c r="I52" i="8" s="1"/>
  <c r="E51" i="7"/>
  <c r="I51" i="8" s="1"/>
  <c r="E50" i="7"/>
  <c r="I50" i="8" s="1"/>
  <c r="E49" i="7"/>
  <c r="I49" i="8" s="1"/>
  <c r="E48" i="7"/>
  <c r="I48" i="8" s="1"/>
  <c r="E47" i="7"/>
  <c r="I47" i="8" s="1"/>
  <c r="E46" i="7"/>
  <c r="I46" i="8" s="1"/>
  <c r="E45" i="7"/>
  <c r="I45" i="8" s="1"/>
  <c r="E44" i="7"/>
  <c r="I44" i="8" s="1"/>
  <c r="E43" i="7"/>
  <c r="I43" i="8" s="1"/>
  <c r="E42" i="7"/>
  <c r="I42" i="8" s="1"/>
  <c r="E41" i="7"/>
  <c r="I41" i="8" s="1"/>
  <c r="E40" i="7"/>
  <c r="I40" i="8" s="1"/>
  <c r="E39" i="7"/>
  <c r="I39" i="8" s="1"/>
  <c r="E37" i="7"/>
  <c r="I37" i="8" s="1"/>
  <c r="J37" i="8" s="1"/>
  <c r="E36" i="7"/>
  <c r="I36" i="8" s="1"/>
  <c r="J36" i="8" s="1"/>
  <c r="E35" i="7"/>
  <c r="I35" i="8" s="1"/>
  <c r="E34" i="7"/>
  <c r="I34" i="8" s="1"/>
  <c r="E33" i="7"/>
  <c r="I33" i="8" s="1"/>
  <c r="E32" i="7"/>
  <c r="I32" i="8" s="1"/>
  <c r="E31" i="7"/>
  <c r="I31" i="8" s="1"/>
  <c r="E30" i="7"/>
  <c r="I30" i="8" s="1"/>
  <c r="E29" i="7"/>
  <c r="I29" i="8" s="1"/>
  <c r="E28" i="7"/>
  <c r="I28" i="8" s="1"/>
  <c r="E27" i="7"/>
  <c r="I27" i="8" s="1"/>
  <c r="E26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61" i="8" l="1"/>
  <c r="I83" i="8" s="1"/>
  <c r="E84" i="7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52" i="8" l="1"/>
  <c r="E84" i="6"/>
  <c r="H83" i="8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94" i="1"/>
  <c r="E76" i="5"/>
  <c r="G76" i="8" s="1"/>
  <c r="E75" i="5"/>
  <c r="G75" i="8" s="1"/>
  <c r="E74" i="5"/>
  <c r="G74" i="8" s="1"/>
  <c r="E73" i="5"/>
  <c r="G73" i="8" s="1"/>
  <c r="E71" i="5"/>
  <c r="G71" i="8" s="1"/>
  <c r="E70" i="5"/>
  <c r="G70" i="8" s="1"/>
  <c r="E69" i="5"/>
  <c r="G69" i="8" s="1"/>
  <c r="E68" i="5"/>
  <c r="G68" i="8" s="1"/>
  <c r="E67" i="5"/>
  <c r="G67" i="8" s="1"/>
  <c r="E66" i="5"/>
  <c r="G66" i="8" s="1"/>
  <c r="E65" i="5"/>
  <c r="G65" i="8" s="1"/>
  <c r="E64" i="5"/>
  <c r="G64" i="8" s="1"/>
  <c r="E63" i="5"/>
  <c r="G63" i="8" s="1"/>
  <c r="E62" i="5"/>
  <c r="G62" i="8" s="1"/>
  <c r="E61" i="5"/>
  <c r="G61" i="8" s="1"/>
  <c r="E60" i="5"/>
  <c r="G60" i="8" s="1"/>
  <c r="E59" i="5"/>
  <c r="G59" i="8" s="1"/>
  <c r="E58" i="5"/>
  <c r="G58" i="8" s="1"/>
  <c r="E57" i="5"/>
  <c r="G57" i="8" s="1"/>
  <c r="E56" i="5"/>
  <c r="G56" i="8" s="1"/>
  <c r="E55" i="5"/>
  <c r="G55" i="8" s="1"/>
  <c r="E54" i="5"/>
  <c r="G54" i="8" s="1"/>
  <c r="E53" i="5"/>
  <c r="G53" i="8" s="1"/>
  <c r="E52" i="5"/>
  <c r="G52" i="8" s="1"/>
  <c r="E51" i="5"/>
  <c r="G51" i="8" s="1"/>
  <c r="E50" i="5"/>
  <c r="G50" i="8" s="1"/>
  <c r="E49" i="5"/>
  <c r="G49" i="8" s="1"/>
  <c r="E48" i="5"/>
  <c r="G48" i="8" s="1"/>
  <c r="E47" i="5"/>
  <c r="G47" i="8" s="1"/>
  <c r="E46" i="5"/>
  <c r="G46" i="8" s="1"/>
  <c r="E45" i="5"/>
  <c r="G45" i="8" s="1"/>
  <c r="E44" i="5"/>
  <c r="G44" i="8" s="1"/>
  <c r="E43" i="5"/>
  <c r="G43" i="8" s="1"/>
  <c r="E42" i="5"/>
  <c r="G42" i="8" s="1"/>
  <c r="E41" i="5"/>
  <c r="G41" i="8" s="1"/>
  <c r="E40" i="5"/>
  <c r="G40" i="8" s="1"/>
  <c r="E39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4" i="5"/>
  <c r="E76" i="4"/>
  <c r="F76" i="8" s="1"/>
  <c r="E75" i="4"/>
  <c r="F75" i="8" s="1"/>
  <c r="E74" i="4"/>
  <c r="F74" i="8" s="1"/>
  <c r="E73" i="4"/>
  <c r="F73" i="8" s="1"/>
  <c r="E71" i="4"/>
  <c r="F71" i="8" s="1"/>
  <c r="J71" i="8" s="1"/>
  <c r="E70" i="4"/>
  <c r="F70" i="8" s="1"/>
  <c r="J70" i="8" s="1"/>
  <c r="E69" i="4"/>
  <c r="F69" i="8" s="1"/>
  <c r="E68" i="4"/>
  <c r="F68" i="8" s="1"/>
  <c r="E67" i="4"/>
  <c r="F67" i="8" s="1"/>
  <c r="E66" i="4"/>
  <c r="F66" i="8" s="1"/>
  <c r="E65" i="4"/>
  <c r="F65" i="8" s="1"/>
  <c r="E64" i="4"/>
  <c r="F64" i="8" s="1"/>
  <c r="E63" i="4"/>
  <c r="F63" i="8" s="1"/>
  <c r="E62" i="4"/>
  <c r="F62" i="8" s="1"/>
  <c r="E61" i="4"/>
  <c r="F61" i="8" s="1"/>
  <c r="E60" i="4"/>
  <c r="F60" i="8" s="1"/>
  <c r="E59" i="4"/>
  <c r="F59" i="8" s="1"/>
  <c r="E58" i="4"/>
  <c r="F58" i="8" s="1"/>
  <c r="E57" i="4"/>
  <c r="F57" i="8" s="1"/>
  <c r="E56" i="4"/>
  <c r="F56" i="8" s="1"/>
  <c r="E55" i="4"/>
  <c r="F55" i="8" s="1"/>
  <c r="E54" i="4"/>
  <c r="F54" i="8" s="1"/>
  <c r="E53" i="4"/>
  <c r="F53" i="8" s="1"/>
  <c r="E52" i="4"/>
  <c r="E51" i="4"/>
  <c r="F51" i="8" s="1"/>
  <c r="E50" i="4"/>
  <c r="F50" i="8" s="1"/>
  <c r="E49" i="4"/>
  <c r="F49" i="8" s="1"/>
  <c r="E48" i="4"/>
  <c r="F48" i="8" s="1"/>
  <c r="E47" i="4"/>
  <c r="F47" i="8" s="1"/>
  <c r="E46" i="4"/>
  <c r="F46" i="8" s="1"/>
  <c r="E45" i="4"/>
  <c r="F45" i="8" s="1"/>
  <c r="E44" i="4"/>
  <c r="F44" i="8" s="1"/>
  <c r="E43" i="4"/>
  <c r="F43" i="8" s="1"/>
  <c r="E42" i="4"/>
  <c r="F42" i="8" s="1"/>
  <c r="E41" i="4"/>
  <c r="F41" i="8" s="1"/>
  <c r="E40" i="4"/>
  <c r="F40" i="8" s="1"/>
  <c r="E39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F52" i="8" l="1"/>
  <c r="E84" i="4"/>
  <c r="E76" i="3"/>
  <c r="E76" i="8" s="1"/>
  <c r="J76" i="8" s="1"/>
  <c r="E75" i="3"/>
  <c r="E75" i="8" s="1"/>
  <c r="J75" i="8" s="1"/>
  <c r="E74" i="3"/>
  <c r="E74" i="8" s="1"/>
  <c r="J74" i="8" s="1"/>
  <c r="E73" i="3"/>
  <c r="E73" i="8" s="1"/>
  <c r="J73" i="8" s="1"/>
  <c r="E69" i="3"/>
  <c r="E69" i="8" s="1"/>
  <c r="J69" i="8" s="1"/>
  <c r="E68" i="3"/>
  <c r="E68" i="8" s="1"/>
  <c r="J68" i="8" s="1"/>
  <c r="E67" i="3"/>
  <c r="E67" i="8" s="1"/>
  <c r="J67" i="8" s="1"/>
  <c r="E66" i="3"/>
  <c r="E66" i="8" s="1"/>
  <c r="J66" i="8" s="1"/>
  <c r="E65" i="3"/>
  <c r="E65" i="8" s="1"/>
  <c r="J65" i="8" s="1"/>
  <c r="E64" i="3"/>
  <c r="E64" i="8" s="1"/>
  <c r="J64" i="8" s="1"/>
  <c r="E63" i="3"/>
  <c r="E63" i="8" s="1"/>
  <c r="J63" i="8" s="1"/>
  <c r="E62" i="3"/>
  <c r="E62" i="8" s="1"/>
  <c r="J62" i="8" s="1"/>
  <c r="E61" i="3"/>
  <c r="E61" i="8" s="1"/>
  <c r="J61" i="8" s="1"/>
  <c r="E60" i="3"/>
  <c r="E60" i="8" s="1"/>
  <c r="J60" i="8" s="1"/>
  <c r="E59" i="3"/>
  <c r="E59" i="8" s="1"/>
  <c r="J59" i="8" s="1"/>
  <c r="E58" i="3"/>
  <c r="E58" i="8" s="1"/>
  <c r="J58" i="8" s="1"/>
  <c r="E57" i="3"/>
  <c r="E57" i="8" s="1"/>
  <c r="J57" i="8" s="1"/>
  <c r="E56" i="3"/>
  <c r="E56" i="8" s="1"/>
  <c r="J56" i="8" s="1"/>
  <c r="E55" i="3"/>
  <c r="E55" i="8" s="1"/>
  <c r="J55" i="8" s="1"/>
  <c r="E54" i="3"/>
  <c r="E54" i="8" s="1"/>
  <c r="J54" i="8" s="1"/>
  <c r="E53" i="3"/>
  <c r="E53" i="8" s="1"/>
  <c r="J53" i="8" s="1"/>
  <c r="E52" i="3"/>
  <c r="E51" i="3"/>
  <c r="E51" i="8" s="1"/>
  <c r="J51" i="8" s="1"/>
  <c r="E50" i="3"/>
  <c r="E50" i="8" s="1"/>
  <c r="J50" i="8" s="1"/>
  <c r="E49" i="3"/>
  <c r="E49" i="8" s="1"/>
  <c r="J49" i="8" s="1"/>
  <c r="E48" i="3"/>
  <c r="E48" i="8" s="1"/>
  <c r="J48" i="8" s="1"/>
  <c r="E47" i="3"/>
  <c r="E47" i="8" s="1"/>
  <c r="J47" i="8" s="1"/>
  <c r="E46" i="3"/>
  <c r="E46" i="8" s="1"/>
  <c r="J46" i="8" s="1"/>
  <c r="E45" i="3"/>
  <c r="E45" i="8" s="1"/>
  <c r="J45" i="8" s="1"/>
  <c r="E44" i="3"/>
  <c r="E44" i="8" s="1"/>
  <c r="J44" i="8" s="1"/>
  <c r="E43" i="3"/>
  <c r="E43" i="8" s="1"/>
  <c r="J43" i="8" s="1"/>
  <c r="E42" i="3"/>
  <c r="E42" i="8" s="1"/>
  <c r="J42" i="8" s="1"/>
  <c r="E41" i="3"/>
  <c r="E41" i="8" s="1"/>
  <c r="J41" i="8" s="1"/>
  <c r="E40" i="3"/>
  <c r="E40" i="8" s="1"/>
  <c r="J40" i="8" s="1"/>
  <c r="E39" i="3"/>
  <c r="E39" i="8" s="1"/>
  <c r="J39" i="8" s="1"/>
  <c r="E35" i="3"/>
  <c r="E35" i="8" s="1"/>
  <c r="J35" i="8" s="1"/>
  <c r="E34" i="3"/>
  <c r="E34" i="8" s="1"/>
  <c r="J34" i="8" s="1"/>
  <c r="E33" i="3"/>
  <c r="E33" i="8" s="1"/>
  <c r="J33" i="8" s="1"/>
  <c r="E32" i="3"/>
  <c r="E32" i="8" s="1"/>
  <c r="J32" i="8" s="1"/>
  <c r="E31" i="3"/>
  <c r="E31" i="8" s="1"/>
  <c r="J31" i="8" s="1"/>
  <c r="E30" i="3"/>
  <c r="E30" i="8" s="1"/>
  <c r="J30" i="8" s="1"/>
  <c r="E29" i="3"/>
  <c r="E29" i="8" s="1"/>
  <c r="J29" i="8" s="1"/>
  <c r="E28" i="3"/>
  <c r="E28" i="8" s="1"/>
  <c r="J28" i="8" s="1"/>
  <c r="E27" i="3"/>
  <c r="E27" i="8" s="1"/>
  <c r="J27" i="8" s="1"/>
  <c r="E26" i="3"/>
  <c r="E26" i="8" s="1"/>
  <c r="J26" i="8" s="1"/>
  <c r="E21" i="3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E52" i="8" l="1"/>
  <c r="J52" i="8" s="1"/>
  <c r="E87" i="3"/>
  <c r="E21" i="8"/>
  <c r="J21" i="8" s="1"/>
  <c r="F83" i="8"/>
  <c r="E3" i="8"/>
  <c r="E81" i="2"/>
  <c r="J3" i="8" l="1"/>
  <c r="E83" i="8"/>
  <c r="J83" i="8" s="1"/>
</calcChain>
</file>

<file path=xl/sharedStrings.xml><?xml version="1.0" encoding="utf-8"?>
<sst xmlns="http://schemas.openxmlformats.org/spreadsheetml/2006/main" count="1170" uniqueCount="119">
  <si>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</si>
  <si>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</si>
  <si>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</si>
  <si>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</si>
  <si>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</si>
  <si>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</si>
  <si>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</si>
  <si>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</si>
  <si>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</si>
  <si>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</si>
  <si>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</si>
  <si>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</si>
  <si>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</si>
  <si>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</si>
  <si>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</si>
  <si>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</si>
  <si>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</si>
  <si>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</si>
  <si>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</si>
  <si>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</si>
  <si>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</si>
  <si>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</si>
  <si>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</si>
  <si>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</si>
  <si>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</si>
  <si>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</si>
  <si>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</si>
  <si>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</si>
  <si>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</si>
  <si>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</si>
  <si>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</si>
  <si>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</si>
  <si>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</si>
  <si>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</si>
  <si>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</si>
  <si>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</si>
  <si>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</si>
  <si>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</si>
  <si>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</si>
  <si>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</si>
  <si>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</si>
  <si>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</si>
  <si>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</si>
  <si>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</si>
  <si>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</si>
  <si>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</si>
  <si>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</si>
  <si>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</si>
  <si>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</si>
  <si>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</si>
  <si>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</si>
  <si>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</si>
  <si>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</si>
  <si>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</si>
  <si>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</si>
  <si>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</si>
  <si>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</si>
  <si>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</si>
  <si>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</si>
  <si>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</si>
  <si>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</si>
  <si>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</si>
  <si>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</si>
  <si>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</si>
  <si>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</si>
  <si>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</si>
  <si>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</si>
  <si>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</si>
  <si>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</si>
  <si>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</si>
  <si>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</si>
  <si>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</si>
  <si>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</si>
  <si>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</si>
  <si>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</si>
  <si>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</si>
  <si>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</si>
  <si>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</si>
  <si>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</si>
  <si>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</si>
  <si>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</si>
  <si>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</si>
  <si>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</si>
  <si>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</si>
  <si>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</si>
  <si>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</si>
  <si>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</si>
  <si>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</si>
  <si>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</si>
  <si>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</si>
  <si>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</si>
  <si>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</si>
  <si>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</si>
  <si>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</si>
  <si>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</si>
  <si>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</si>
  <si>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</si>
  <si>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</si>
  <si>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</si>
  <si>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</si>
  <si>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Pepper</t>
  </si>
  <si>
    <t>Salt</t>
  </si>
  <si>
    <t>Liquid Soap</t>
  </si>
  <si>
    <t>Detergent</t>
  </si>
  <si>
    <t>Toothpick</t>
  </si>
  <si>
    <t>Chain (big &amp; small)</t>
  </si>
  <si>
    <t>Keys</t>
  </si>
  <si>
    <t>Scent leave</t>
  </si>
  <si>
    <t>Book</t>
  </si>
  <si>
    <t>Bulb</t>
  </si>
  <si>
    <t>POS</t>
  </si>
  <si>
    <t>Car Petrol</t>
  </si>
  <si>
    <t>Bike</t>
  </si>
  <si>
    <t>Ground nut Oil</t>
  </si>
  <si>
    <t>DJ Ewarawon</t>
  </si>
  <si>
    <t>DSTV</t>
  </si>
  <si>
    <t>Data Wifi &amp; Pos</t>
  </si>
  <si>
    <t>Books</t>
  </si>
  <si>
    <t>Petrol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</si>
</sst>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3" fontId="0" fillId="0" borderId="0" xfId="0" applyNumberForma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61" zoomScale="77" zoomScaleNormal="100" zoomScaleSheetLayoutView="106" workbookViewId="0">
      <selection activeCell="E63" sqref="E63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'Expence-1'!E3</f>
        <v>0</v>
      </c>
      <c r="D3" s="36">
        <f>'Expence-2'!E3</f>
        <v>0</v>
      </c>
      <c r="E3" s="36">
        <f>'Expence-3'!E3</f>
        <v>0</v>
      </c>
      <c r="F3" s="36">
        <f>'Expence-4'!E3</f>
        <v>0</v>
      </c>
      <c r="G3" s="36">
        <f>'Expence-5'!E3</f>
        <v>4800</v>
      </c>
      <c r="H3" s="36">
        <f>'Expence-6'!E3</f>
        <v>0</v>
      </c>
      <c r="I3" s="36">
        <f>'Expence-7'!E3</f>
        <v>0</v>
      </c>
      <c r="J3" s="34">
        <f>SUM(C3:I3)</f>
        <v>4800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'Expence-1'!E4</f>
        <v>0</v>
      </c>
      <c r="D4" s="36">
        <f>'Expence-2'!E4</f>
        <v>0</v>
      </c>
      <c r="E4" s="36">
        <f>'Expence-3'!E4</f>
        <v>4700</v>
      </c>
      <c r="F4" s="36">
        <f>'Expence-4'!E4</f>
        <v>0</v>
      </c>
      <c r="G4" s="36">
        <f>'Expence-5'!E4</f>
        <v>9400</v>
      </c>
      <c r="H4" s="36">
        <f>'Expence-6'!E4</f>
        <v>0</v>
      </c>
      <c r="I4" s="36">
        <f>'Expence-7'!E4</f>
        <v>0</v>
      </c>
      <c r="J4" s="34">
        <f t="shared" ref="J4:J67" si="0">SUM(C4:I4)</f>
        <v>14100</v>
      </c>
    </row>
    <row r="5" spans="1:15" ht="15" thickBot="1" x14ac:dyDescent="0.35">
      <c r="A5" s="26" t="s">
        <v>10</v>
      </c>
      <c r="B5" s="27" t="s">
        <v>11</v>
      </c>
      <c r="C5" s="36">
        <f>'Expence-1'!E5</f>
        <v>0</v>
      </c>
      <c r="D5" s="36">
        <f>'Expence-2'!E5</f>
        <v>0</v>
      </c>
      <c r="E5" s="36">
        <f>'Expence-3'!E5</f>
        <v>7100</v>
      </c>
      <c r="F5" s="36">
        <f>'Expence-4'!E5</f>
        <v>0</v>
      </c>
      <c r="G5" s="36">
        <f>'Expence-5'!E5</f>
        <v>7100</v>
      </c>
      <c r="H5" s="36">
        <f>'Expence-6'!E5</f>
        <v>0</v>
      </c>
      <c r="I5" s="36">
        <f>'Expence-7'!E5</f>
        <v>0</v>
      </c>
      <c r="J5" s="34">
        <f t="shared" si="0"/>
        <v>14200</v>
      </c>
    </row>
    <row r="6" spans="1:15" ht="15" thickBot="1" x14ac:dyDescent="0.35">
      <c r="A6" s="26" t="s">
        <v>12</v>
      </c>
      <c r="B6" s="27" t="s">
        <v>13</v>
      </c>
      <c r="C6" s="36">
        <f>'Expence-1'!E6</f>
        <v>0</v>
      </c>
      <c r="D6" s="36">
        <f>'Expence-2'!E6</f>
        <v>0</v>
      </c>
      <c r="E6" s="36">
        <f>'Expence-3'!E6</f>
        <v>8000</v>
      </c>
      <c r="F6" s="36">
        <f>'Expence-4'!E6</f>
        <v>0</v>
      </c>
      <c r="G6" s="36">
        <f>'Expence-5'!E6</f>
        <v>8000</v>
      </c>
      <c r="H6" s="36">
        <f>'Expence-6'!E6</f>
        <v>0</v>
      </c>
      <c r="I6" s="36">
        <f>'Expence-7'!E6</f>
        <v>0</v>
      </c>
      <c r="J6" s="34">
        <f t="shared" si="0"/>
        <v>16000</v>
      </c>
    </row>
    <row r="7" spans="1:15" ht="15" thickBot="1" x14ac:dyDescent="0.35">
      <c r="A7" s="26" t="s">
        <v>14</v>
      </c>
      <c r="B7" s="27" t="s">
        <v>15</v>
      </c>
      <c r="C7" s="36">
        <f>'Expence-1'!E7</f>
        <v>0</v>
      </c>
      <c r="D7" s="36">
        <f>'Expence-2'!E7</f>
        <v>0</v>
      </c>
      <c r="E7" s="36">
        <f>'Expence-3'!E7</f>
        <v>0</v>
      </c>
      <c r="F7" s="36">
        <f>'Expence-4'!E7</f>
        <v>0</v>
      </c>
      <c r="G7" s="36">
        <f>'Expence-5'!E7</f>
        <v>0</v>
      </c>
      <c r="H7" s="36">
        <f>'Expence-6'!E7</f>
        <v>0</v>
      </c>
      <c r="I7" s="36">
        <f>'Expence-7'!E7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'Expence-1'!E8</f>
        <v>0</v>
      </c>
      <c r="D8" s="36">
        <f>'Expence-2'!E8</f>
        <v>0</v>
      </c>
      <c r="E8" s="36">
        <f>'Expence-3'!E8</f>
        <v>0</v>
      </c>
      <c r="F8" s="36">
        <f>'Expence-4'!E8</f>
        <v>0</v>
      </c>
      <c r="G8" s="36">
        <f>'Expence-5'!E8</f>
        <v>0</v>
      </c>
      <c r="H8" s="36">
        <f>'Expence-6'!E8</f>
        <v>0</v>
      </c>
      <c r="I8" s="36">
        <f>'Expence-7'!E8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'Expence-1'!E9</f>
        <v>0</v>
      </c>
      <c r="D9" s="36">
        <f>'Expence-2'!E9</f>
        <v>0</v>
      </c>
      <c r="E9" s="36">
        <f>'Expence-3'!E9</f>
        <v>0</v>
      </c>
      <c r="F9" s="36">
        <f>'Expence-4'!E9</f>
        <v>0</v>
      </c>
      <c r="G9" s="36">
        <f>'Expence-5'!E9</f>
        <v>0</v>
      </c>
      <c r="H9" s="36">
        <f>'Expence-6'!E9</f>
        <v>0</v>
      </c>
      <c r="I9" s="36">
        <f>'Expence-7'!E9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'Expence-1'!E10</f>
        <v>0</v>
      </c>
      <c r="D10" s="36">
        <f>'Expence-2'!E10</f>
        <v>0</v>
      </c>
      <c r="E10" s="36">
        <f>'Expence-3'!E10</f>
        <v>4500</v>
      </c>
      <c r="F10" s="36">
        <f>'Expence-4'!E10</f>
        <v>0</v>
      </c>
      <c r="G10" s="36">
        <f>'Expence-5'!E10</f>
        <v>9000</v>
      </c>
      <c r="H10" s="36">
        <f>'Expence-6'!E10</f>
        <v>0</v>
      </c>
      <c r="I10" s="36">
        <f>'Expence-7'!E10</f>
        <v>0</v>
      </c>
      <c r="J10" s="34">
        <f t="shared" si="0"/>
        <v>13500</v>
      </c>
    </row>
    <row r="11" spans="1:15" ht="15" thickBot="1" x14ac:dyDescent="0.35">
      <c r="A11" s="26" t="s">
        <v>8</v>
      </c>
      <c r="B11" s="27" t="s">
        <v>18</v>
      </c>
      <c r="C11" s="36">
        <f>'Expence-1'!E11</f>
        <v>0</v>
      </c>
      <c r="D11" s="36">
        <f>'Expence-2'!E11</f>
        <v>0</v>
      </c>
      <c r="E11" s="36">
        <f>'Expence-3'!E11</f>
        <v>0</v>
      </c>
      <c r="F11" s="36">
        <f>'Expence-4'!E11</f>
        <v>0</v>
      </c>
      <c r="G11" s="36">
        <f>'Expence-5'!E11</f>
        <v>0</v>
      </c>
      <c r="H11" s="36">
        <f>'Expence-6'!E11</f>
        <v>0</v>
      </c>
      <c r="I11" s="36">
        <f>'Expence-7'!E11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'Expence-1'!E12</f>
        <v>0</v>
      </c>
      <c r="D12" s="36">
        <f>'Expence-2'!E12</f>
        <v>0</v>
      </c>
      <c r="E12" s="36">
        <f>'Expence-3'!E12</f>
        <v>0</v>
      </c>
      <c r="F12" s="36">
        <f>'Expence-4'!E12</f>
        <v>0</v>
      </c>
      <c r="G12" s="36">
        <f>'Expence-5'!E12</f>
        <v>0</v>
      </c>
      <c r="H12" s="36">
        <f>'Expence-6'!E12</f>
        <v>0</v>
      </c>
      <c r="I12" s="36">
        <f>'Expence-7'!E12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'Expence-1'!E13</f>
        <v>0</v>
      </c>
      <c r="D13" s="36">
        <f>'Expence-2'!E13</f>
        <v>0</v>
      </c>
      <c r="E13" s="36">
        <f>'Expence-3'!E13</f>
        <v>0</v>
      </c>
      <c r="F13" s="36">
        <f>'Expence-4'!E13</f>
        <v>0</v>
      </c>
      <c r="G13" s="36">
        <f>'Expence-5'!E13</f>
        <v>0</v>
      </c>
      <c r="H13" s="36">
        <f>'Expence-6'!E13</f>
        <v>0</v>
      </c>
      <c r="I13" s="36">
        <f>'Expence-7'!E13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'Expence-1'!E14</f>
        <v>0</v>
      </c>
      <c r="D14" s="36">
        <f>'Expence-2'!E14</f>
        <v>0</v>
      </c>
      <c r="E14" s="36">
        <f>'Expence-3'!E14</f>
        <v>0</v>
      </c>
      <c r="F14" s="36">
        <f>'Expence-4'!E14</f>
        <v>0</v>
      </c>
      <c r="G14" s="36">
        <f>'Expence-5'!E14</f>
        <v>0</v>
      </c>
      <c r="H14" s="36">
        <f>'Expence-6'!E14</f>
        <v>0</v>
      </c>
      <c r="I14" s="36">
        <f>'Expence-7'!E14</f>
        <v>0</v>
      </c>
      <c r="J14" s="34">
        <f t="shared" si="0"/>
        <v>0</v>
      </c>
    </row>
    <row r="15" spans="1:15" ht="15" thickBot="1" x14ac:dyDescent="0.35">
      <c r="A15" s="26" t="s">
        <v>22</v>
      </c>
      <c r="B15" s="27" t="s">
        <v>23</v>
      </c>
      <c r="C15" s="36">
        <f>'Expence-1'!E15</f>
        <v>0</v>
      </c>
      <c r="D15" s="36">
        <f>'Expence-2'!E15</f>
        <v>0</v>
      </c>
      <c r="E15" s="36">
        <f>'Expence-3'!E15</f>
        <v>3500</v>
      </c>
      <c r="F15" s="36">
        <f>'Expence-4'!E15</f>
        <v>0</v>
      </c>
      <c r="G15" s="36">
        <f>'Expence-5'!E15</f>
        <v>7000</v>
      </c>
      <c r="H15" s="36">
        <f>'Expence-6'!E15</f>
        <v>0</v>
      </c>
      <c r="I15" s="36">
        <f>'Expence-7'!E15</f>
        <v>0</v>
      </c>
      <c r="J15" s="34">
        <f t="shared" si="0"/>
        <v>10500</v>
      </c>
    </row>
    <row r="16" spans="1:15" ht="15" thickBot="1" x14ac:dyDescent="0.35">
      <c r="A16" s="26" t="s">
        <v>24</v>
      </c>
      <c r="B16" s="27" t="s">
        <v>25</v>
      </c>
      <c r="C16" s="36">
        <f>'Expence-1'!E16</f>
        <v>0</v>
      </c>
      <c r="D16" s="36">
        <f>'Expence-2'!E16</f>
        <v>0</v>
      </c>
      <c r="E16" s="36">
        <f>'Expence-3'!E16</f>
        <v>2700</v>
      </c>
      <c r="F16" s="36">
        <f>'Expence-4'!E16</f>
        <v>0</v>
      </c>
      <c r="G16" s="36">
        <f>'Expence-5'!E16</f>
        <v>2700</v>
      </c>
      <c r="H16" s="36">
        <f>'Expence-6'!E16</f>
        <v>0</v>
      </c>
      <c r="I16" s="36">
        <f>'Expence-7'!E16</f>
        <v>0</v>
      </c>
      <c r="J16" s="34">
        <f t="shared" si="0"/>
        <v>5400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'Expence-1'!E17</f>
        <v>0</v>
      </c>
      <c r="D17" s="36">
        <f>'Expence-2'!E17</f>
        <v>0</v>
      </c>
      <c r="E17" s="36">
        <f>'Expence-3'!E17</f>
        <v>0</v>
      </c>
      <c r="F17" s="36">
        <f>'Expence-4'!E17</f>
        <v>0</v>
      </c>
      <c r="G17" s="36">
        <f>'Expence-5'!E17</f>
        <v>0</v>
      </c>
      <c r="H17" s="36">
        <f>'Expence-6'!E17</f>
        <v>0</v>
      </c>
      <c r="I17" s="36">
        <f>'Expence-7'!E17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'Expence-1'!E18</f>
        <v>0</v>
      </c>
      <c r="D18" s="36">
        <f>'Expence-2'!E18</f>
        <v>0</v>
      </c>
      <c r="E18" s="36">
        <f>'Expence-3'!E18</f>
        <v>0</v>
      </c>
      <c r="F18" s="36">
        <f>'Expence-4'!E18</f>
        <v>0</v>
      </c>
      <c r="G18" s="36">
        <f>'Expence-5'!E18</f>
        <v>5400</v>
      </c>
      <c r="H18" s="36">
        <f>'Expence-6'!E18</f>
        <v>0</v>
      </c>
      <c r="I18" s="36">
        <f>'Expence-7'!E18</f>
        <v>0</v>
      </c>
      <c r="J18" s="34">
        <f t="shared" si="0"/>
        <v>5400</v>
      </c>
    </row>
    <row r="19" spans="1:10" ht="15" thickBot="1" x14ac:dyDescent="0.35">
      <c r="A19" s="26" t="s">
        <v>30</v>
      </c>
      <c r="B19" s="27" t="s">
        <v>31</v>
      </c>
      <c r="C19" s="36">
        <f>'Expence-1'!E19</f>
        <v>0</v>
      </c>
      <c r="D19" s="36">
        <f>'Expence-2'!E19</f>
        <v>0</v>
      </c>
      <c r="E19" s="36">
        <f>'Expence-3'!E19</f>
        <v>3100</v>
      </c>
      <c r="F19" s="36">
        <f>'Expence-4'!E19</f>
        <v>0</v>
      </c>
      <c r="G19" s="36">
        <f>'Expence-5'!E19</f>
        <v>6200</v>
      </c>
      <c r="H19" s="36">
        <f>'Expence-6'!E19</f>
        <v>0</v>
      </c>
      <c r="I19" s="36">
        <f>'Expence-7'!E19</f>
        <v>0</v>
      </c>
      <c r="J19" s="34">
        <f t="shared" si="0"/>
        <v>9300</v>
      </c>
    </row>
    <row r="20" spans="1:10" ht="15" thickBot="1" x14ac:dyDescent="0.35">
      <c r="A20" s="26" t="s">
        <v>32</v>
      </c>
      <c r="B20" s="27" t="s">
        <v>33</v>
      </c>
      <c r="C20" s="36">
        <f>'Expence-1'!E20</f>
        <v>0</v>
      </c>
      <c r="D20" s="36">
        <f>'Expence-2'!E20</f>
        <v>0</v>
      </c>
      <c r="E20" s="36">
        <f>'Expence-3'!E20</f>
        <v>3000</v>
      </c>
      <c r="F20" s="36">
        <f>'Expence-4'!E20</f>
        <v>0</v>
      </c>
      <c r="G20" s="36">
        <f>'Expence-5'!E20</f>
        <v>5000</v>
      </c>
      <c r="H20" s="36">
        <f>'Expence-6'!E20</f>
        <v>0</v>
      </c>
      <c r="I20" s="36">
        <f>'Expence-7'!E20</f>
        <v>0</v>
      </c>
      <c r="J20" s="34">
        <f t="shared" si="0"/>
        <v>8000</v>
      </c>
    </row>
    <row r="21" spans="1:10" ht="15" thickBot="1" x14ac:dyDescent="0.35">
      <c r="A21" s="26" t="s">
        <v>34</v>
      </c>
      <c r="B21" s="27" t="s">
        <v>35</v>
      </c>
      <c r="C21" s="36">
        <f>'Expence-1'!E21</f>
        <v>0</v>
      </c>
      <c r="D21" s="36">
        <f>'Expence-2'!E21</f>
        <v>0</v>
      </c>
      <c r="E21" s="36">
        <f>'Expence-3'!E21</f>
        <v>3300</v>
      </c>
      <c r="F21" s="36">
        <f>'Expence-4'!E21</f>
        <v>0</v>
      </c>
      <c r="G21" s="36">
        <f>'Expence-5'!E21</f>
        <v>6600</v>
      </c>
      <c r="H21" s="36">
        <f>'Expence-6'!E21</f>
        <v>0</v>
      </c>
      <c r="I21" s="36">
        <f>'Expence-7'!E21</f>
        <v>0</v>
      </c>
      <c r="J21" s="34">
        <f t="shared" si="0"/>
        <v>9900</v>
      </c>
    </row>
    <row r="22" spans="1:10" ht="15" thickBot="1" x14ac:dyDescent="0.35">
      <c r="A22" s="26" t="s">
        <v>66</v>
      </c>
      <c r="B22" s="27" t="s">
        <v>91</v>
      </c>
      <c r="C22" s="36">
        <f>'Expence-1'!E22</f>
        <v>0</v>
      </c>
      <c r="D22" s="36">
        <f>'Expence-2'!E22</f>
        <v>0</v>
      </c>
      <c r="E22" s="36">
        <f>'Expence-3'!E22</f>
        <v>0</v>
      </c>
      <c r="F22" s="36">
        <f>'Expence-4'!E22</f>
        <v>0</v>
      </c>
      <c r="G22" s="36">
        <f>'Expence-5'!E22</f>
        <v>0</v>
      </c>
      <c r="H22" s="36">
        <f>'Expence-6'!E22</f>
        <v>0</v>
      </c>
      <c r="I22" s="36">
        <f>'Expence-7'!E22</f>
        <v>0</v>
      </c>
      <c r="J22" s="34">
        <f t="shared" si="0"/>
        <v>0</v>
      </c>
    </row>
    <row r="23" spans="1:10" ht="15" thickBot="1" x14ac:dyDescent="0.35">
      <c r="A23" s="26" t="s">
        <v>68</v>
      </c>
      <c r="B23" s="27" t="s">
        <v>92</v>
      </c>
      <c r="C23" s="36">
        <f>'Expence-1'!E23</f>
        <v>0</v>
      </c>
      <c r="D23" s="36">
        <f>'Expence-2'!E23</f>
        <v>0</v>
      </c>
      <c r="E23" s="36">
        <f>'Expence-3'!E23</f>
        <v>0</v>
      </c>
      <c r="F23" s="36">
        <f>'Expence-4'!E23</f>
        <v>0</v>
      </c>
      <c r="G23" s="36">
        <f>'Expence-5'!E23</f>
        <v>0</v>
      </c>
      <c r="H23" s="36">
        <f>'Expence-6'!E23</f>
        <v>0</v>
      </c>
      <c r="I23" s="36">
        <f>'Expence-7'!E23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'Expence-1'!E24</f>
        <v>0</v>
      </c>
      <c r="D24" s="36">
        <f>'Expence-2'!E24</f>
        <v>0</v>
      </c>
      <c r="E24" s="36">
        <f>'Expence-3'!E24</f>
        <v>5500</v>
      </c>
      <c r="F24" s="36">
        <f>'Expence-4'!E24</f>
        <v>0</v>
      </c>
      <c r="G24" s="36">
        <f>'Expence-5'!E24</f>
        <v>5500</v>
      </c>
      <c r="H24" s="36">
        <f>'Expence-6'!E24</f>
        <v>0</v>
      </c>
      <c r="I24" s="36">
        <f>'Expence-7'!E24</f>
        <v>0</v>
      </c>
      <c r="J24" s="34">
        <f t="shared" si="0"/>
        <v>11000</v>
      </c>
    </row>
    <row r="25" spans="1:10" ht="15" thickBot="1" x14ac:dyDescent="0.35">
      <c r="A25" s="26" t="s">
        <v>72</v>
      </c>
      <c r="B25" s="27" t="s">
        <v>93</v>
      </c>
      <c r="C25" s="36">
        <f>'Expence-1'!E25</f>
        <v>0</v>
      </c>
      <c r="D25" s="36">
        <f>'Expence-2'!E25</f>
        <v>0</v>
      </c>
      <c r="E25" s="36">
        <f>'Expence-3'!E25</f>
        <v>0</v>
      </c>
      <c r="F25" s="36">
        <f>'Expence-4'!E25</f>
        <v>0</v>
      </c>
      <c r="G25" s="36">
        <f>'Expence-5'!E25</f>
        <v>0</v>
      </c>
      <c r="H25" s="36">
        <f>'Expence-6'!E25</f>
        <v>0</v>
      </c>
      <c r="I25" s="36">
        <f>'Expence-7'!E25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'Expence-1'!E26</f>
        <v>0</v>
      </c>
      <c r="D26" s="36">
        <f>'Expence-2'!E26</f>
        <v>0</v>
      </c>
      <c r="E26" s="36">
        <f>'Expence-3'!E26</f>
        <v>0</v>
      </c>
      <c r="F26" s="36">
        <f>'Expence-4'!E26</f>
        <v>0</v>
      </c>
      <c r="G26" s="36">
        <f>'Expence-5'!E26</f>
        <v>0</v>
      </c>
      <c r="H26" s="36">
        <f>'Expence-6'!E26</f>
        <v>0</v>
      </c>
      <c r="I26" s="36">
        <f>'Expence-7'!E26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'Expence-1'!E27</f>
        <v>0</v>
      </c>
      <c r="D27" s="36">
        <f>'Expence-2'!E27</f>
        <v>0</v>
      </c>
      <c r="E27" s="36">
        <f>'Expence-3'!E27</f>
        <v>0</v>
      </c>
      <c r="F27" s="36">
        <f>'Expence-4'!E27</f>
        <v>0</v>
      </c>
      <c r="G27" s="36">
        <f>'Expence-5'!E27</f>
        <v>0</v>
      </c>
      <c r="H27" s="36">
        <f>'Expence-6'!E27</f>
        <v>0</v>
      </c>
      <c r="I27" s="36">
        <f>'Expence-7'!E27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'Expence-1'!E28</f>
        <v>0</v>
      </c>
      <c r="D28" s="36">
        <f>'Expence-2'!E28</f>
        <v>0</v>
      </c>
      <c r="E28" s="36">
        <f>'Expence-3'!E28</f>
        <v>0</v>
      </c>
      <c r="F28" s="36">
        <f>'Expence-4'!E28</f>
        <v>0</v>
      </c>
      <c r="G28" s="36">
        <f>'Expence-5'!E28</f>
        <v>0</v>
      </c>
      <c r="H28" s="36">
        <f>'Expence-6'!E28</f>
        <v>0</v>
      </c>
      <c r="I28" s="36">
        <f>'Expence-7'!E28</f>
        <v>30000</v>
      </c>
      <c r="J28" s="34">
        <f t="shared" si="0"/>
        <v>30000</v>
      </c>
    </row>
    <row r="29" spans="1:10" ht="15" thickBot="1" x14ac:dyDescent="0.35">
      <c r="A29" s="26" t="s">
        <v>8</v>
      </c>
      <c r="B29" s="27" t="s">
        <v>38</v>
      </c>
      <c r="C29" s="36">
        <f>'Expence-1'!E29</f>
        <v>13500</v>
      </c>
      <c r="D29" s="36">
        <f>'Expence-2'!E29</f>
        <v>0</v>
      </c>
      <c r="E29" s="36">
        <f>'Expence-3'!E29</f>
        <v>0</v>
      </c>
      <c r="F29" s="36">
        <f>'Expence-4'!E29</f>
        <v>22000</v>
      </c>
      <c r="G29" s="36">
        <f>'Expence-5'!E29</f>
        <v>24000</v>
      </c>
      <c r="H29" s="36">
        <f>'Expence-6'!E29</f>
        <v>0</v>
      </c>
      <c r="I29" s="36">
        <f>'Expence-7'!E29</f>
        <v>0</v>
      </c>
      <c r="J29" s="34">
        <f t="shared" si="0"/>
        <v>59500</v>
      </c>
    </row>
    <row r="30" spans="1:10" ht="15" thickBot="1" x14ac:dyDescent="0.35">
      <c r="A30" s="26" t="s">
        <v>10</v>
      </c>
      <c r="B30" s="27" t="s">
        <v>39</v>
      </c>
      <c r="C30" s="36">
        <f>'Expence-1'!E30</f>
        <v>0</v>
      </c>
      <c r="D30" s="36">
        <f>'Expence-2'!E30</f>
        <v>0</v>
      </c>
      <c r="E30" s="36">
        <f>'Expence-3'!E30</f>
        <v>0</v>
      </c>
      <c r="F30" s="36">
        <f>'Expence-4'!E30</f>
        <v>0</v>
      </c>
      <c r="G30" s="36">
        <f>'Expence-5'!E30</f>
        <v>0</v>
      </c>
      <c r="H30" s="36">
        <f>'Expence-6'!E30</f>
        <v>0</v>
      </c>
      <c r="I30" s="36">
        <f>'Expence-7'!E30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'Expence-1'!E31</f>
        <v>0</v>
      </c>
      <c r="D31" s="36">
        <f>'Expence-2'!E31</f>
        <v>0</v>
      </c>
      <c r="E31" s="36">
        <f>'Expence-3'!E31</f>
        <v>0</v>
      </c>
      <c r="F31" s="36">
        <f>'Expence-4'!E31</f>
        <v>0</v>
      </c>
      <c r="G31" s="36">
        <f>'Expence-5'!E31</f>
        <v>0</v>
      </c>
      <c r="H31" s="36">
        <f>'Expence-6'!E31</f>
        <v>0</v>
      </c>
      <c r="I31" s="36">
        <f>'Expence-7'!E31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'Expence-1'!E32</f>
        <v>5000</v>
      </c>
      <c r="D32" s="36">
        <f>'Expence-2'!E32</f>
        <v>0</v>
      </c>
      <c r="E32" s="36">
        <f>'Expence-3'!E32</f>
        <v>0</v>
      </c>
      <c r="F32" s="36">
        <f>'Expence-4'!E32</f>
        <v>0</v>
      </c>
      <c r="G32" s="36">
        <f>'Expence-5'!E32</f>
        <v>0</v>
      </c>
      <c r="H32" s="36">
        <f>'Expence-6'!E32</f>
        <v>0</v>
      </c>
      <c r="I32" s="36">
        <f>'Expence-7'!E32</f>
        <v>0</v>
      </c>
      <c r="J32" s="34">
        <f t="shared" si="0"/>
        <v>5000</v>
      </c>
    </row>
    <row r="33" spans="1:18" ht="15" thickBot="1" x14ac:dyDescent="0.35">
      <c r="A33" s="26" t="s">
        <v>22</v>
      </c>
      <c r="B33" s="27" t="s">
        <v>42</v>
      </c>
      <c r="C33" s="36">
        <f>'Expence-1'!E33</f>
        <v>0</v>
      </c>
      <c r="D33" s="36">
        <f>'Expence-2'!E33</f>
        <v>0</v>
      </c>
      <c r="E33" s="36">
        <f>'Expence-3'!E33</f>
        <v>0</v>
      </c>
      <c r="F33" s="36">
        <f>'Expence-4'!E33</f>
        <v>0</v>
      </c>
      <c r="G33" s="36">
        <f>'Expence-5'!E33</f>
        <v>0</v>
      </c>
      <c r="H33" s="36">
        <f>'Expence-6'!E33</f>
        <v>0</v>
      </c>
      <c r="I33" s="36">
        <f>'Expence-7'!E33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'Expence-1'!E34</f>
        <v>0</v>
      </c>
      <c r="D34" s="36">
        <f>'Expence-2'!E34</f>
        <v>0</v>
      </c>
      <c r="E34" s="36">
        <f>'Expence-3'!E34</f>
        <v>0</v>
      </c>
      <c r="F34" s="36">
        <f>'Expence-4'!E34</f>
        <v>0</v>
      </c>
      <c r="G34" s="36">
        <f>'Expence-5'!E34</f>
        <v>0</v>
      </c>
      <c r="H34" s="36">
        <f>'Expence-6'!E34</f>
        <v>0</v>
      </c>
      <c r="I34" s="36">
        <f>'Expence-7'!E34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'Expence-1'!E35</f>
        <v>0</v>
      </c>
      <c r="D35" s="36">
        <f>'Expence-2'!E35</f>
        <v>0</v>
      </c>
      <c r="E35" s="36">
        <f>'Expence-3'!E35</f>
        <v>0</v>
      </c>
      <c r="F35" s="36">
        <f>'Expence-4'!E35</f>
        <v>0</v>
      </c>
      <c r="G35" s="36">
        <f>'Expence-5'!E35</f>
        <v>0</v>
      </c>
      <c r="H35" s="36">
        <f>'Expence-6'!E35</f>
        <v>0</v>
      </c>
      <c r="I35" s="36">
        <f>'Expence-7'!E35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'Expence-1'!E36</f>
        <v>0</v>
      </c>
      <c r="D36" s="36">
        <f>'Expence-2'!E36</f>
        <v>0</v>
      </c>
      <c r="E36" s="36">
        <f>'Expence-3'!E36</f>
        <v>0</v>
      </c>
      <c r="F36" s="36">
        <f>'Expence-4'!E36</f>
        <v>0</v>
      </c>
      <c r="G36" s="36">
        <f>'Expence-5'!E36</f>
        <v>0</v>
      </c>
      <c r="H36" s="36">
        <f>'Expence-6'!E36</f>
        <v>0</v>
      </c>
      <c r="I36" s="36">
        <f>'Expence-7'!E36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'Expence-1'!E37</f>
        <v>0</v>
      </c>
      <c r="D37" s="36">
        <f>'Expence-2'!E37</f>
        <v>0</v>
      </c>
      <c r="E37" s="36">
        <f>'Expence-3'!E37</f>
        <v>0</v>
      </c>
      <c r="F37" s="36">
        <f>'Expence-4'!E37</f>
        <v>0</v>
      </c>
      <c r="G37" s="36">
        <f>'Expence-5'!E37</f>
        <v>0</v>
      </c>
      <c r="H37" s="36">
        <f>'Expence-6'!E37</f>
        <v>0</v>
      </c>
      <c r="I37" s="36">
        <f>'Expence-7'!E37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'Expence-1'!E38</f>
        <v>0</v>
      </c>
      <c r="D38" s="36">
        <f>'Expence-2'!E38</f>
        <v>0</v>
      </c>
      <c r="E38" s="36">
        <f>'Expence-3'!E38</f>
        <v>0</v>
      </c>
      <c r="F38" s="36">
        <f>'Expence-4'!E38</f>
        <v>0</v>
      </c>
      <c r="G38" s="36">
        <f>'Expence-5'!E38</f>
        <v>0</v>
      </c>
      <c r="H38" s="36">
        <f>'Expence-6'!E38</f>
        <v>0</v>
      </c>
      <c r="I38" s="36">
        <f>'Expence-7'!E38</f>
        <v>0</v>
      </c>
      <c r="J38" s="34">
        <f t="shared" si="0"/>
        <v>0</v>
      </c>
      <c r="O38" s="32"/>
      <c r="R38"/>
    </row>
    <row r="39" spans="1:18" ht="15" thickBot="1" x14ac:dyDescent="0.35">
      <c r="A39" s="27"/>
      <c r="B39" s="27"/>
      <c r="C39" s="36">
        <f>'Expence-1'!E39</f>
        <v>0</v>
      </c>
      <c r="D39" s="36">
        <f>'Expence-2'!E39</f>
        <v>0</v>
      </c>
      <c r="E39" s="36">
        <f>'Expence-3'!E39</f>
        <v>0</v>
      </c>
      <c r="F39" s="36">
        <f>'Expence-4'!E39</f>
        <v>0</v>
      </c>
      <c r="G39" s="36">
        <f>'Expence-5'!E39</f>
        <v>0</v>
      </c>
      <c r="H39" s="36">
        <f>'Expence-6'!E39</f>
        <v>0</v>
      </c>
      <c r="I39" s="36">
        <f>'Expence-7'!E39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'Expence-1'!E40</f>
        <v>0</v>
      </c>
      <c r="D40" s="36">
        <f>'Expence-2'!E40</f>
        <v>0</v>
      </c>
      <c r="E40" s="36">
        <f>'Expence-3'!E40</f>
        <v>0</v>
      </c>
      <c r="F40" s="36">
        <f>'Expence-4'!E40</f>
        <v>0</v>
      </c>
      <c r="G40" s="36">
        <f>'Expence-5'!E40</f>
        <v>0</v>
      </c>
      <c r="H40" s="36">
        <f>'Expence-6'!E40</f>
        <v>0</v>
      </c>
      <c r="I40" s="36">
        <f>'Expence-7'!E40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'Expence-1'!E41</f>
        <v>0</v>
      </c>
      <c r="D41" s="36">
        <f>'Expence-2'!E41</f>
        <v>0</v>
      </c>
      <c r="E41" s="36">
        <f>'Expence-3'!E41</f>
        <v>0</v>
      </c>
      <c r="F41" s="36">
        <f>'Expence-4'!E41</f>
        <v>0</v>
      </c>
      <c r="G41" s="36">
        <f>'Expence-5'!E41</f>
        <v>0</v>
      </c>
      <c r="H41" s="36">
        <f>'Expence-6'!E41</f>
        <v>0</v>
      </c>
      <c r="I41" s="36">
        <f>'Expence-7'!E41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'Expence-1'!E42</f>
        <v>0</v>
      </c>
      <c r="D42" s="36">
        <f>'Expence-2'!E42</f>
        <v>0</v>
      </c>
      <c r="E42" s="36">
        <f>'Expence-3'!E42</f>
        <v>0</v>
      </c>
      <c r="F42" s="36">
        <f>'Expence-4'!E42</f>
        <v>0</v>
      </c>
      <c r="G42" s="36">
        <f>'Expence-5'!E42</f>
        <v>0</v>
      </c>
      <c r="H42" s="36">
        <f>'Expence-6'!E42</f>
        <v>0</v>
      </c>
      <c r="I42" s="36">
        <f>'Expence-7'!E42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'Expence-1'!E43</f>
        <v>0</v>
      </c>
      <c r="D43" s="36">
        <f>'Expence-2'!E43</f>
        <v>0</v>
      </c>
      <c r="E43" s="36">
        <f>'Expence-3'!E43</f>
        <v>0</v>
      </c>
      <c r="F43" s="36">
        <f>'Expence-4'!E43</f>
        <v>0</v>
      </c>
      <c r="G43" s="36">
        <f>'Expence-5'!E43</f>
        <v>0</v>
      </c>
      <c r="H43" s="36">
        <f>'Expence-6'!E43</f>
        <v>0</v>
      </c>
      <c r="I43" s="36">
        <f>'Expence-7'!E43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'Expence-1'!E44</f>
        <v>0</v>
      </c>
      <c r="D44" s="36">
        <f>'Expence-2'!E44</f>
        <v>0</v>
      </c>
      <c r="E44" s="36">
        <f>'Expence-3'!E44</f>
        <v>0</v>
      </c>
      <c r="F44" s="36">
        <f>'Expence-4'!E44</f>
        <v>0</v>
      </c>
      <c r="G44" s="36">
        <f>'Expence-5'!E44</f>
        <v>0</v>
      </c>
      <c r="H44" s="36">
        <f>'Expence-6'!E44</f>
        <v>0</v>
      </c>
      <c r="I44" s="36">
        <f>'Expence-7'!E44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'Expence-1'!E45</f>
        <v>0</v>
      </c>
      <c r="D45" s="36">
        <f>'Expence-2'!E45</f>
        <v>0</v>
      </c>
      <c r="E45" s="36">
        <f>'Expence-3'!E45</f>
        <v>0</v>
      </c>
      <c r="F45" s="36">
        <f>'Expence-4'!E45</f>
        <v>0</v>
      </c>
      <c r="G45" s="36">
        <f>'Expence-5'!E45</f>
        <v>0</v>
      </c>
      <c r="H45" s="36">
        <f>'Expence-6'!E45</f>
        <v>0</v>
      </c>
      <c r="I45" s="36">
        <f>'Expence-7'!E45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'Expence-1'!E46</f>
        <v>0</v>
      </c>
      <c r="D46" s="36">
        <f>'Expence-2'!E46</f>
        <v>0</v>
      </c>
      <c r="E46" s="36">
        <f>'Expence-3'!E46</f>
        <v>0</v>
      </c>
      <c r="F46" s="36">
        <f>'Expence-4'!E46</f>
        <v>0</v>
      </c>
      <c r="G46" s="36">
        <f>'Expence-5'!E46</f>
        <v>0</v>
      </c>
      <c r="H46" s="36">
        <f>'Expence-6'!E46</f>
        <v>0</v>
      </c>
      <c r="I46" s="36">
        <f>'Expence-7'!E46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'Expence-1'!E47</f>
        <v>0</v>
      </c>
      <c r="D47" s="36">
        <f>'Expence-2'!E47</f>
        <v>0</v>
      </c>
      <c r="E47" s="36">
        <f>'Expence-3'!E47</f>
        <v>0</v>
      </c>
      <c r="F47" s="36">
        <f>'Expence-4'!E47</f>
        <v>0</v>
      </c>
      <c r="G47" s="36">
        <f>'Expence-5'!E47</f>
        <v>0</v>
      </c>
      <c r="H47" s="36">
        <f>'Expence-6'!E47</f>
        <v>0</v>
      </c>
      <c r="I47" s="36">
        <f>'Expence-7'!E47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'Expence-1'!E48</f>
        <v>0</v>
      </c>
      <c r="D48" s="36">
        <f>'Expence-2'!E48</f>
        <v>0</v>
      </c>
      <c r="E48" s="36">
        <f>'Expence-3'!E48</f>
        <v>0</v>
      </c>
      <c r="F48" s="36">
        <f>'Expence-4'!E48</f>
        <v>0</v>
      </c>
      <c r="G48" s="36">
        <f>'Expence-5'!E48</f>
        <v>0</v>
      </c>
      <c r="H48" s="36">
        <f>'Expence-6'!E48</f>
        <v>0</v>
      </c>
      <c r="I48" s="36">
        <f>'Expence-7'!E48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'Expence-1'!E49</f>
        <v>0</v>
      </c>
      <c r="D49" s="36">
        <f>'Expence-2'!E49</f>
        <v>0</v>
      </c>
      <c r="E49" s="36">
        <f>'Expence-3'!E49</f>
        <v>0</v>
      </c>
      <c r="F49" s="36">
        <f>'Expence-4'!E49</f>
        <v>0</v>
      </c>
      <c r="G49" s="36">
        <f>'Expence-5'!E49</f>
        <v>0</v>
      </c>
      <c r="H49" s="36">
        <f>'Expence-6'!E49</f>
        <v>0</v>
      </c>
      <c r="I49" s="36">
        <f>'Expence-7'!E49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'Expence-1'!E50</f>
        <v>0</v>
      </c>
      <c r="D50" s="36">
        <f>'Expence-2'!E50</f>
        <v>0</v>
      </c>
      <c r="E50" s="36">
        <f>'Expence-3'!E50</f>
        <v>0</v>
      </c>
      <c r="F50" s="36">
        <f>'Expence-4'!E50</f>
        <v>0</v>
      </c>
      <c r="G50" s="36">
        <f>'Expence-5'!E50</f>
        <v>0</v>
      </c>
      <c r="H50" s="36">
        <f>'Expence-6'!E50</f>
        <v>0</v>
      </c>
      <c r="I50" s="36">
        <f>'Expence-7'!E50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'Expence-1'!E51</f>
        <v>0</v>
      </c>
      <c r="D51" s="36">
        <f>'Expence-2'!E51</f>
        <v>0</v>
      </c>
      <c r="E51" s="36">
        <f>'Expence-3'!E51</f>
        <v>0</v>
      </c>
      <c r="F51" s="36">
        <f>'Expence-4'!E51</f>
        <v>0</v>
      </c>
      <c r="G51" s="36">
        <f>'Expence-5'!E51</f>
        <v>0</v>
      </c>
      <c r="H51" s="36">
        <f>'Expence-6'!E51</f>
        <v>0</v>
      </c>
      <c r="I51" s="36">
        <f>'Expence-7'!E51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'Expence-1'!E52</f>
        <v>0</v>
      </c>
      <c r="D52" s="36">
        <f>'Expence-2'!E52</f>
        <v>0</v>
      </c>
      <c r="E52" s="36">
        <f>'Expence-3'!E52</f>
        <v>5500</v>
      </c>
      <c r="F52" s="36">
        <f>'Expence-4'!E52</f>
        <v>5500</v>
      </c>
      <c r="G52" s="36">
        <f>'Expence-5'!E52</f>
        <v>0</v>
      </c>
      <c r="H52" s="36">
        <f>'Expence-6'!E52</f>
        <v>2500</v>
      </c>
      <c r="I52" s="36">
        <f>'Expence-7'!E52</f>
        <v>5000</v>
      </c>
      <c r="J52" s="34">
        <f t="shared" si="0"/>
        <v>18500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'Expence-1'!E53</f>
        <v>0</v>
      </c>
      <c r="D53" s="36">
        <f>'Expence-2'!E53</f>
        <v>0</v>
      </c>
      <c r="E53" s="36">
        <f>'Expence-3'!E53</f>
        <v>0</v>
      </c>
      <c r="F53" s="36">
        <f>'Expence-4'!E53</f>
        <v>0</v>
      </c>
      <c r="G53" s="36">
        <f>'Expence-5'!E53</f>
        <v>0</v>
      </c>
      <c r="H53" s="36">
        <f>'Expence-6'!E53</f>
        <v>0</v>
      </c>
      <c r="I53" s="36">
        <f>'Expence-7'!E53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'Expence-1'!E54</f>
        <v>0</v>
      </c>
      <c r="D54" s="36">
        <f>'Expence-2'!E54</f>
        <v>0</v>
      </c>
      <c r="E54" s="36">
        <f>'Expence-3'!E54</f>
        <v>0</v>
      </c>
      <c r="F54" s="36">
        <f>'Expence-4'!E54</f>
        <v>0</v>
      </c>
      <c r="G54" s="36">
        <f>'Expence-5'!E54</f>
        <v>0</v>
      </c>
      <c r="H54" s="36">
        <f>'Expence-6'!E54</f>
        <v>0</v>
      </c>
      <c r="I54" s="36">
        <f>'Expence-7'!E54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'Expence-1'!E55</f>
        <v>0</v>
      </c>
      <c r="D55" s="36">
        <f>'Expence-2'!E55</f>
        <v>0</v>
      </c>
      <c r="E55" s="36">
        <f>'Expence-3'!E55</f>
        <v>0</v>
      </c>
      <c r="F55" s="36">
        <f>'Expence-4'!E55</f>
        <v>0</v>
      </c>
      <c r="G55" s="36">
        <f>'Expence-5'!E55</f>
        <v>0</v>
      </c>
      <c r="H55" s="36">
        <f>'Expence-6'!E55</f>
        <v>0</v>
      </c>
      <c r="I55" s="36">
        <f>'Expence-7'!E55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'Expence-1'!E56</f>
        <v>0</v>
      </c>
      <c r="D56" s="36">
        <f>'Expence-2'!E56</f>
        <v>0</v>
      </c>
      <c r="E56" s="36">
        <f>'Expence-3'!E56</f>
        <v>0</v>
      </c>
      <c r="F56" s="36">
        <f>'Expence-4'!E56</f>
        <v>0</v>
      </c>
      <c r="G56" s="36">
        <f>'Expence-5'!E56</f>
        <v>0</v>
      </c>
      <c r="H56" s="36">
        <f>'Expence-6'!E56</f>
        <v>0</v>
      </c>
      <c r="I56" s="36">
        <f>'Expence-7'!E56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'Expence-1'!E57</f>
        <v>0</v>
      </c>
      <c r="D57" s="36">
        <f>'Expence-2'!E57</f>
        <v>0</v>
      </c>
      <c r="E57" s="36">
        <f>'Expence-3'!E57</f>
        <v>0</v>
      </c>
      <c r="F57" s="36">
        <f>'Expence-4'!E57</f>
        <v>0</v>
      </c>
      <c r="G57" s="36">
        <f>'Expence-5'!E57</f>
        <v>0</v>
      </c>
      <c r="H57" s="36">
        <f>'Expence-6'!E57</f>
        <v>0</v>
      </c>
      <c r="I57" s="36">
        <f>'Expence-7'!E57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'Expence-1'!E58</f>
        <v>0</v>
      </c>
      <c r="D58" s="36">
        <f>'Expence-2'!E58</f>
        <v>0</v>
      </c>
      <c r="E58" s="36">
        <f>'Expence-3'!E58</f>
        <v>0</v>
      </c>
      <c r="F58" s="36">
        <f>'Expence-4'!E58</f>
        <v>0</v>
      </c>
      <c r="G58" s="36">
        <f>'Expence-5'!E58</f>
        <v>0</v>
      </c>
      <c r="H58" s="36">
        <f>'Expence-6'!E58</f>
        <v>0</v>
      </c>
      <c r="I58" s="36">
        <f>'Expence-7'!E58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'Expence-1'!E59</f>
        <v>0</v>
      </c>
      <c r="D59" s="36">
        <f>'Expence-2'!E59</f>
        <v>0</v>
      </c>
      <c r="E59" s="36">
        <f>'Expence-3'!E59</f>
        <v>0</v>
      </c>
      <c r="F59" s="36">
        <f>'Expence-4'!E59</f>
        <v>0</v>
      </c>
      <c r="G59" s="36">
        <f>'Expence-5'!E59</f>
        <v>0</v>
      </c>
      <c r="H59" s="36">
        <f>'Expence-6'!E59</f>
        <v>0</v>
      </c>
      <c r="I59" s="36">
        <f>'Expence-7'!E59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'Expence-1'!E60</f>
        <v>0</v>
      </c>
      <c r="D60" s="36">
        <f>'Expence-2'!E60</f>
        <v>0</v>
      </c>
      <c r="E60" s="36">
        <f>'Expence-3'!E60</f>
        <v>0</v>
      </c>
      <c r="F60" s="36">
        <f>'Expence-4'!E60</f>
        <v>0</v>
      </c>
      <c r="G60" s="36">
        <f>'Expence-5'!E60</f>
        <v>0</v>
      </c>
      <c r="H60" s="36">
        <f>'Expence-6'!E60</f>
        <v>0</v>
      </c>
      <c r="I60" s="36">
        <f>'Expence-7'!E60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'Expence-1'!E61</f>
        <v>0</v>
      </c>
      <c r="D61" s="36">
        <f>'Expence-2'!E61</f>
        <v>0</v>
      </c>
      <c r="E61" s="36">
        <f>'Expence-3'!E61</f>
        <v>6200</v>
      </c>
      <c r="F61" s="36">
        <f>'Expence-4'!E61</f>
        <v>0</v>
      </c>
      <c r="G61" s="36">
        <f>'Expence-5'!E61</f>
        <v>0</v>
      </c>
      <c r="H61" s="36">
        <f>'Expence-6'!E61</f>
        <v>0</v>
      </c>
      <c r="I61" s="36">
        <f>'Expence-7'!E61</f>
        <v>6100</v>
      </c>
      <c r="J61" s="34">
        <f t="shared" si="0"/>
        <v>12300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'Expence-1'!E62</f>
        <v>0</v>
      </c>
      <c r="D62" s="36">
        <f>'Expence-2'!E62</f>
        <v>0</v>
      </c>
      <c r="E62" s="36">
        <f>'Expence-3'!E62</f>
        <v>0</v>
      </c>
      <c r="F62" s="36">
        <f>'Expence-4'!E62</f>
        <v>0</v>
      </c>
      <c r="G62" s="36">
        <f>'Expence-5'!E62</f>
        <v>0</v>
      </c>
      <c r="H62" s="36">
        <f>'Expence-6'!E62</f>
        <v>0</v>
      </c>
      <c r="I62" s="36">
        <f>'Expence-7'!E62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'Expence-1'!E63</f>
        <v>0</v>
      </c>
      <c r="D63" s="36">
        <f>'Expence-2'!E63</f>
        <v>0</v>
      </c>
      <c r="E63" s="36">
        <f>'Expence-3'!E63</f>
        <v>0</v>
      </c>
      <c r="F63" s="36">
        <f>'Expence-4'!E63</f>
        <v>0</v>
      </c>
      <c r="G63" s="36">
        <f>'Expence-5'!E63</f>
        <v>0</v>
      </c>
      <c r="H63" s="36">
        <f>'Expence-6'!E63</f>
        <v>0</v>
      </c>
      <c r="I63" s="36">
        <f>'Expence-7'!E63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'Expence-1'!E64</f>
        <v>0</v>
      </c>
      <c r="D64" s="36">
        <f>'Expence-2'!E64</f>
        <v>0</v>
      </c>
      <c r="E64" s="36">
        <f>'Expence-3'!E64</f>
        <v>0</v>
      </c>
      <c r="F64" s="36">
        <f>'Expence-4'!E64</f>
        <v>0</v>
      </c>
      <c r="G64" s="36">
        <f>'Expence-5'!E64</f>
        <v>0</v>
      </c>
      <c r="H64" s="36">
        <f>'Expence-6'!E64</f>
        <v>0</v>
      </c>
      <c r="I64" s="36">
        <f>'Expence-7'!E64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'Expence-1'!E65</f>
        <v>0</v>
      </c>
      <c r="D65" s="36">
        <f>'Expence-2'!E65</f>
        <v>0</v>
      </c>
      <c r="E65" s="36">
        <f>'Expence-3'!E65</f>
        <v>10300</v>
      </c>
      <c r="F65" s="36">
        <f>'Expence-4'!E65</f>
        <v>0</v>
      </c>
      <c r="G65" s="36">
        <f>'Expence-5'!E65</f>
        <v>0</v>
      </c>
      <c r="H65" s="36">
        <f>'Expence-6'!E65</f>
        <v>0</v>
      </c>
      <c r="I65" s="36">
        <f>'Expence-7'!E65</f>
        <v>0</v>
      </c>
      <c r="J65" s="34">
        <f t="shared" si="0"/>
        <v>10300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'Expence-1'!E66</f>
        <v>0</v>
      </c>
      <c r="D66" s="36">
        <f>'Expence-2'!E66</f>
        <v>0</v>
      </c>
      <c r="E66" s="36">
        <f>'Expence-3'!E66</f>
        <v>0</v>
      </c>
      <c r="F66" s="36">
        <f>'Expence-4'!E66</f>
        <v>0</v>
      </c>
      <c r="G66" s="36">
        <f>'Expence-5'!E66</f>
        <v>0</v>
      </c>
      <c r="H66" s="36">
        <f>'Expence-6'!E66</f>
        <v>0</v>
      </c>
      <c r="I66" s="36">
        <f>'Expence-7'!E66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'Expence-1'!E67</f>
        <v>0</v>
      </c>
      <c r="D67" s="36">
        <f>'Expence-2'!E67</f>
        <v>0</v>
      </c>
      <c r="E67" s="36">
        <f>'Expence-3'!E67</f>
        <v>0</v>
      </c>
      <c r="F67" s="36">
        <f>'Expence-4'!E67</f>
        <v>0</v>
      </c>
      <c r="G67" s="36">
        <f>'Expence-5'!E67</f>
        <v>0</v>
      </c>
      <c r="H67" s="36">
        <f>'Expence-6'!E67</f>
        <v>0</v>
      </c>
      <c r="I67" s="36">
        <f>'Expence-7'!E67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'Expence-1'!E68</f>
        <v>0</v>
      </c>
      <c r="D68" s="36">
        <f>'Expence-2'!E68</f>
        <v>0</v>
      </c>
      <c r="E68" s="36">
        <f>'Expence-3'!E68</f>
        <v>0</v>
      </c>
      <c r="F68" s="36">
        <f>'Expence-4'!E68</f>
        <v>0</v>
      </c>
      <c r="G68" s="36">
        <f>'Expence-5'!E68</f>
        <v>0</v>
      </c>
      <c r="H68" s="36">
        <f>'Expence-6'!E68</f>
        <v>0</v>
      </c>
      <c r="I68" s="36">
        <f>'Expence-7'!E68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'Expence-1'!E69</f>
        <v>0</v>
      </c>
      <c r="D69" s="36">
        <f>'Expence-2'!E69</f>
        <v>0</v>
      </c>
      <c r="E69" s="36">
        <f>'Expence-3'!E69</f>
        <v>0</v>
      </c>
      <c r="F69" s="36">
        <f>'Expence-4'!E69</f>
        <v>0</v>
      </c>
      <c r="G69" s="36">
        <f>'Expence-5'!E69</f>
        <v>6900</v>
      </c>
      <c r="H69" s="36">
        <f>'Expence-6'!E69</f>
        <v>0</v>
      </c>
      <c r="I69" s="36">
        <f>'Expence-7'!E69</f>
        <v>0</v>
      </c>
      <c r="J69" s="34">
        <f t="shared" si="1"/>
        <v>6900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'Expence-1'!E70</f>
        <v>0</v>
      </c>
      <c r="D70" s="36">
        <f>'Expence-2'!E70</f>
        <v>0</v>
      </c>
      <c r="E70" s="36">
        <f>'Expence-3'!E70</f>
        <v>0</v>
      </c>
      <c r="F70" s="36">
        <f>'Expence-4'!E70</f>
        <v>0</v>
      </c>
      <c r="G70" s="36">
        <f>'Expence-5'!E70</f>
        <v>0</v>
      </c>
      <c r="H70" s="36">
        <f>'Expence-6'!E70</f>
        <v>0</v>
      </c>
      <c r="I70" s="36">
        <f>'Expence-7'!E70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'Expence-1'!E71</f>
        <v>0</v>
      </c>
      <c r="D71" s="36">
        <f>'Expence-2'!E71</f>
        <v>0</v>
      </c>
      <c r="E71" s="36">
        <f>'Expence-3'!E71</f>
        <v>0</v>
      </c>
      <c r="F71" s="36">
        <f>'Expence-4'!E71</f>
        <v>0</v>
      </c>
      <c r="G71" s="36">
        <f>'Expence-5'!E71</f>
        <v>0</v>
      </c>
      <c r="H71" s="36">
        <f>'Expence-6'!E71</f>
        <v>0</v>
      </c>
      <c r="I71" s="36">
        <f>'Expence-7'!E71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'Expence-1'!E72</f>
        <v>0</v>
      </c>
      <c r="D72" s="36">
        <f>'Expence-2'!E72</f>
        <v>0</v>
      </c>
      <c r="E72" s="36">
        <f>'Expence-3'!E72</f>
        <v>0</v>
      </c>
      <c r="F72" s="36">
        <f>'Expence-4'!E72</f>
        <v>0</v>
      </c>
      <c r="G72" s="36">
        <f>'Expence-5'!E72</f>
        <v>0</v>
      </c>
      <c r="H72" s="36">
        <f>'Expence-6'!E72</f>
        <v>0</v>
      </c>
      <c r="I72" s="36">
        <f>'Expence-7'!E72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'Expence-1'!E73</f>
        <v>0</v>
      </c>
      <c r="D73" s="36">
        <f>'Expence-2'!E73</f>
        <v>0</v>
      </c>
      <c r="E73" s="36">
        <f>'Expence-3'!E73</f>
        <v>0</v>
      </c>
      <c r="F73" s="36">
        <f>'Expence-4'!E73</f>
        <v>0</v>
      </c>
      <c r="G73" s="36">
        <f>'Expence-5'!E73</f>
        <v>0</v>
      </c>
      <c r="H73" s="36">
        <f>'Expence-6'!E73</f>
        <v>0</v>
      </c>
      <c r="I73" s="36">
        <f>'Expence-7'!E73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'Expence-1'!E74</f>
        <v>0</v>
      </c>
      <c r="D74" s="36">
        <f>'Expence-2'!E74</f>
        <v>0</v>
      </c>
      <c r="E74" s="36">
        <f>'Expence-3'!E74</f>
        <v>0</v>
      </c>
      <c r="F74" s="36">
        <f>'Expence-4'!E74</f>
        <v>0</v>
      </c>
      <c r="G74" s="36">
        <f>'Expence-5'!E74</f>
        <v>0</v>
      </c>
      <c r="H74" s="36">
        <f>'Expence-6'!E74</f>
        <v>0</v>
      </c>
      <c r="I74" s="36">
        <f>'Expence-7'!E74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'Expence-1'!E75</f>
        <v>0</v>
      </c>
      <c r="D75" s="36">
        <f>'Expence-2'!E75</f>
        <v>0</v>
      </c>
      <c r="E75" s="36">
        <f>'Expence-3'!E75</f>
        <v>0</v>
      </c>
      <c r="F75" s="36">
        <f>'Expence-4'!E75</f>
        <v>0</v>
      </c>
      <c r="G75" s="36">
        <f>'Expence-5'!E75</f>
        <v>0</v>
      </c>
      <c r="H75" s="36">
        <f>'Expence-6'!E75</f>
        <v>0</v>
      </c>
      <c r="I75" s="36">
        <f>'Expence-7'!E75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'Expence-1'!E76</f>
        <v>0</v>
      </c>
      <c r="D76" s="36">
        <f>'Expence-2'!E76</f>
        <v>0</v>
      </c>
      <c r="E76" s="36">
        <f>'Expence-3'!E76</f>
        <v>0</v>
      </c>
      <c r="F76" s="36">
        <f>'Expence-4'!E76</f>
        <v>0</v>
      </c>
      <c r="G76" s="36">
        <f>'Expence-5'!E76</f>
        <v>0</v>
      </c>
      <c r="H76" s="36">
        <f>'Expence-6'!E76</f>
        <v>0</v>
      </c>
      <c r="I76" s="36">
        <f>'Expence-7'!E76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'Expence-1'!E77</f>
        <v>0</v>
      </c>
      <c r="D77" s="36">
        <f>'Expence-2'!E77</f>
        <v>0</v>
      </c>
      <c r="E77" s="36">
        <f>'Expence-3'!E77</f>
        <v>0</v>
      </c>
      <c r="F77" s="36">
        <f>'Expence-4'!E77</f>
        <v>0</v>
      </c>
      <c r="G77" s="36">
        <f>'Expence-5'!E77</f>
        <v>0</v>
      </c>
      <c r="H77" s="36">
        <f>'Expence-6'!E77</f>
        <v>0</v>
      </c>
      <c r="I77" s="36">
        <f>'Expence-7'!E77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'Expence-1'!E78</f>
        <v>0</v>
      </c>
      <c r="D78" s="36">
        <f>'Expence-2'!E78</f>
        <v>0</v>
      </c>
      <c r="E78" s="36">
        <f>'Expence-3'!E78</f>
        <v>0</v>
      </c>
      <c r="F78" s="36">
        <f>'Expence-4'!E78</f>
        <v>0</v>
      </c>
      <c r="G78" s="36">
        <f>'Expence-5'!E78</f>
        <v>0</v>
      </c>
      <c r="H78" s="36">
        <f>'Expence-6'!E78</f>
        <v>0</v>
      </c>
      <c r="I78" s="36">
        <f>'Expence-7'!E78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'Expence-1'!E79</f>
        <v>0</v>
      </c>
      <c r="D79" s="36">
        <f>'Expence-2'!E79</f>
        <v>0</v>
      </c>
      <c r="E79" s="36">
        <f>'Expence-3'!E79</f>
        <v>0</v>
      </c>
      <c r="F79" s="36">
        <f>'Expence-4'!E79</f>
        <v>0</v>
      </c>
      <c r="G79" s="36">
        <f>'Expence-5'!E79</f>
        <v>0</v>
      </c>
      <c r="H79" s="36">
        <f>'Expence-6'!E79</f>
        <v>0</v>
      </c>
      <c r="I79" s="36">
        <f>'Expence-7'!E79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18500</v>
      </c>
      <c r="D83" s="41">
        <f t="shared" ref="D83:I83" si="2">SUM(D3:D82)</f>
        <v>0</v>
      </c>
      <c r="E83" s="41">
        <f t="shared" si="2"/>
        <v>67400</v>
      </c>
      <c r="F83" s="41">
        <f t="shared" si="2"/>
        <v>27500</v>
      </c>
      <c r="G83" s="41">
        <f t="shared" si="2"/>
        <v>107600</v>
      </c>
      <c r="H83" s="41">
        <f t="shared" si="2"/>
        <v>2500</v>
      </c>
      <c r="I83" s="41">
        <f t="shared" si="2"/>
        <v>41100</v>
      </c>
      <c r="J83" s="34">
        <f t="shared" si="1"/>
        <v>264600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95"/>
  <sheetViews>
    <sheetView topLeftCell="A72" workbookViewId="0">
      <selection activeCell="B89" sqref="B8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13500</v>
      </c>
      <c r="D29">
        <v>1</v>
      </c>
      <c r="E29" s="13">
        <f t="shared" si="0"/>
        <v>13500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5000</v>
      </c>
      <c r="D32">
        <v>1</v>
      </c>
      <c r="E32" s="13">
        <f t="shared" si="0"/>
        <v>5000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7900</v>
      </c>
      <c r="D52"/>
      <c r="E52" s="13">
        <f t="shared" si="0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93" si="1">D78*C78</f>
        <v>0</v>
      </c>
      <c r="M78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7" t="s">
        <v>8</v>
      </c>
      <c r="B80" s="14" t="s">
        <v>100</v>
      </c>
      <c r="C80">
        <v>2000</v>
      </c>
      <c r="D80" s="12">
        <v>1</v>
      </c>
      <c r="E80" s="13">
        <f t="shared" si="1"/>
        <v>2000</v>
      </c>
      <c r="M80"/>
    </row>
    <row r="81" spans="1:13" x14ac:dyDescent="0.3">
      <c r="A81" s="47" t="s">
        <v>10</v>
      </c>
      <c r="B81" s="14" t="s">
        <v>101</v>
      </c>
      <c r="C81">
        <v>450</v>
      </c>
      <c r="D81" s="12">
        <v>1</v>
      </c>
      <c r="E81" s="13">
        <f t="shared" si="1"/>
        <v>450</v>
      </c>
      <c r="M81"/>
    </row>
    <row r="82" spans="1:13" x14ac:dyDescent="0.3">
      <c r="A82" s="47" t="s">
        <v>12</v>
      </c>
      <c r="B82" s="14" t="s">
        <v>102</v>
      </c>
      <c r="C82">
        <v>1300</v>
      </c>
      <c r="D82" s="12">
        <v>1</v>
      </c>
      <c r="E82" s="13">
        <f t="shared" si="1"/>
        <v>1300</v>
      </c>
      <c r="M82"/>
    </row>
    <row r="83" spans="1:13" x14ac:dyDescent="0.3">
      <c r="A83" s="47" t="s">
        <v>14</v>
      </c>
      <c r="B83" s="14" t="s">
        <v>103</v>
      </c>
      <c r="C83">
        <v>400</v>
      </c>
      <c r="D83" s="12">
        <v>1</v>
      </c>
      <c r="E83" s="13">
        <f t="shared" si="1"/>
        <v>400</v>
      </c>
      <c r="M83"/>
    </row>
    <row r="84" spans="1:13" x14ac:dyDescent="0.3">
      <c r="A84" s="47" t="s">
        <v>22</v>
      </c>
      <c r="B84" s="14" t="s">
        <v>104</v>
      </c>
      <c r="C84">
        <v>9500</v>
      </c>
      <c r="D84" s="12">
        <v>1</v>
      </c>
      <c r="E84" s="13">
        <f t="shared" si="1"/>
        <v>9500</v>
      </c>
      <c r="M84"/>
    </row>
    <row r="85" spans="1:13" x14ac:dyDescent="0.3">
      <c r="A85" s="47" t="s">
        <v>24</v>
      </c>
      <c r="B85" s="14" t="s">
        <v>105</v>
      </c>
      <c r="C85">
        <v>6000</v>
      </c>
      <c r="D85" s="12">
        <v>1</v>
      </c>
      <c r="E85" s="13">
        <f t="shared" si="1"/>
        <v>6000</v>
      </c>
      <c r="M85"/>
    </row>
    <row r="86" spans="1:13" x14ac:dyDescent="0.3">
      <c r="A86" s="47" t="s">
        <v>26</v>
      </c>
      <c r="B86" s="14" t="s">
        <v>106</v>
      </c>
      <c r="C86">
        <v>2000</v>
      </c>
      <c r="D86" s="12">
        <v>1</v>
      </c>
      <c r="E86" s="13">
        <f t="shared" si="1"/>
        <v>2000</v>
      </c>
      <c r="M86"/>
    </row>
    <row r="87" spans="1:13" x14ac:dyDescent="0.3">
      <c r="A87" s="47" t="s">
        <v>28</v>
      </c>
      <c r="B87" s="14" t="s">
        <v>107</v>
      </c>
      <c r="C87">
        <v>200</v>
      </c>
      <c r="D87" s="12">
        <v>1</v>
      </c>
      <c r="E87" s="13">
        <f t="shared" si="1"/>
        <v>200</v>
      </c>
      <c r="M87"/>
    </row>
    <row r="88" spans="1:13" x14ac:dyDescent="0.3">
      <c r="A88" s="47" t="s">
        <v>30</v>
      </c>
      <c r="B88" s="14" t="s">
        <v>108</v>
      </c>
      <c r="C88">
        <v>300</v>
      </c>
      <c r="D88" s="12">
        <v>1</v>
      </c>
      <c r="E88" s="13">
        <f t="shared" si="1"/>
        <v>300</v>
      </c>
      <c r="M88"/>
    </row>
    <row r="89" spans="1:13" x14ac:dyDescent="0.3">
      <c r="A89" s="47" t="s">
        <v>32</v>
      </c>
      <c r="B89" s="14" t="s">
        <v>109</v>
      </c>
      <c r="C89">
        <v>1000</v>
      </c>
      <c r="D89" s="12">
        <v>2</v>
      </c>
      <c r="E89" s="13">
        <f t="shared" si="1"/>
        <v>2000</v>
      </c>
      <c r="M89"/>
    </row>
    <row r="90" spans="1:13" x14ac:dyDescent="0.3">
      <c r="A90" s="47" t="s">
        <v>34</v>
      </c>
      <c r="B90" s="14" t="s">
        <v>110</v>
      </c>
      <c r="C90">
        <v>600</v>
      </c>
      <c r="D90" s="12">
        <v>1</v>
      </c>
      <c r="E90" s="13">
        <f t="shared" si="1"/>
        <v>600</v>
      </c>
      <c r="M90"/>
    </row>
    <row r="91" spans="1:13" x14ac:dyDescent="0.3">
      <c r="A91" s="47" t="s">
        <v>66</v>
      </c>
      <c r="B91" s="14" t="s">
        <v>111</v>
      </c>
      <c r="C91">
        <v>625</v>
      </c>
      <c r="D91" s="12">
        <v>20</v>
      </c>
      <c r="E91" s="13">
        <f t="shared" si="1"/>
        <v>12500</v>
      </c>
      <c r="M91"/>
    </row>
    <row r="92" spans="1:13" x14ac:dyDescent="0.3">
      <c r="A92" s="47"/>
      <c r="B92" s="14"/>
      <c r="E92" s="13">
        <f t="shared" si="1"/>
        <v>0</v>
      </c>
      <c r="M92"/>
    </row>
    <row r="93" spans="1:13" x14ac:dyDescent="0.3">
      <c r="E93" s="13">
        <f t="shared" si="1"/>
        <v>0</v>
      </c>
      <c r="M93"/>
    </row>
    <row r="94" spans="1:13" x14ac:dyDescent="0.3">
      <c r="B94" t="s">
        <v>80</v>
      </c>
      <c r="E94" s="13">
        <f>SUM(E2:E93)</f>
        <v>55750</v>
      </c>
    </row>
    <row r="95" spans="1:13" x14ac:dyDescent="0.3">
      <c r="M9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1"/>
  <sheetViews>
    <sheetView topLeftCell="A67" zoomScale="99" workbookViewId="0">
      <selection activeCell="B1" sqref="B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4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/>
      <c r="E16" s="39">
        <f t="shared" si="0"/>
        <v>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/>
      <c r="E20" s="39">
        <f t="shared" si="0"/>
        <v>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/>
      <c r="E28" s="39">
        <f t="shared" si="0"/>
        <v>0</v>
      </c>
    </row>
    <row r="29" spans="1:5" ht="15" thickBot="1" x14ac:dyDescent="0.35">
      <c r="A29" s="26" t="s">
        <v>8</v>
      </c>
      <c r="B29" s="27" t="s">
        <v>38</v>
      </c>
      <c r="C29" s="28">
        <v>200</v>
      </c>
      <c r="D29" s="28"/>
      <c r="E29" s="39">
        <f t="shared" si="0"/>
        <v>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500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2" t="s">
        <v>26</v>
      </c>
      <c r="B35" s="43" t="s">
        <v>43</v>
      </c>
      <c r="C35" s="44">
        <v>2000</v>
      </c>
      <c r="D35" s="45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27"/>
      <c r="B39" s="27"/>
      <c r="C39" s="27"/>
      <c r="D39" s="27"/>
      <c r="E39" s="39">
        <f t="shared" si="0"/>
        <v>0</v>
      </c>
    </row>
    <row r="40" spans="1:10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10" ht="15" thickBot="1" x14ac:dyDescent="0.35">
      <c r="A41" s="26" t="s">
        <v>6</v>
      </c>
      <c r="B41" s="27" t="s">
        <v>45</v>
      </c>
      <c r="C41" s="30">
        <v>700</v>
      </c>
      <c r="D41" s="28"/>
      <c r="E41" s="39">
        <f t="shared" si="0"/>
        <v>0</v>
      </c>
    </row>
    <row r="42" spans="1:10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10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10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10" ht="15" thickBot="1" x14ac:dyDescent="0.35">
      <c r="A46" s="27"/>
      <c r="B46" s="27"/>
      <c r="C46" s="27"/>
      <c r="D46" s="27"/>
      <c r="E46" s="39">
        <f t="shared" si="0"/>
        <v>0</v>
      </c>
    </row>
    <row r="47" spans="1:10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10" ht="15" thickBot="1" x14ac:dyDescent="0.35">
      <c r="A48" s="26" t="s">
        <v>6</v>
      </c>
      <c r="B48" s="46" t="s">
        <v>51</v>
      </c>
      <c r="C48" s="28">
        <v>100</v>
      </c>
      <c r="D48" s="28"/>
      <c r="E48" s="39">
        <f t="shared" si="0"/>
        <v>0</v>
      </c>
    </row>
    <row r="49" spans="1:5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5" ht="15" thickBot="1" x14ac:dyDescent="0.35">
      <c r="A50" s="29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54</v>
      </c>
      <c r="C52" s="30">
        <v>8300</v>
      </c>
      <c r="D52" s="28"/>
      <c r="E52" s="39">
        <f t="shared" si="0"/>
        <v>0</v>
      </c>
    </row>
    <row r="53" spans="1:5" ht="15" thickBot="1" x14ac:dyDescent="0.35">
      <c r="A53" s="26" t="s">
        <v>8</v>
      </c>
      <c r="B53" s="27" t="s">
        <v>55</v>
      </c>
      <c r="C53" s="28">
        <v>300</v>
      </c>
      <c r="D53" s="27"/>
      <c r="E53" s="39">
        <f t="shared" si="0"/>
        <v>0</v>
      </c>
    </row>
    <row r="54" spans="1:5" ht="15" thickBot="1" x14ac:dyDescent="0.35">
      <c r="A54" s="26" t="s">
        <v>10</v>
      </c>
      <c r="B54" s="27" t="s">
        <v>56</v>
      </c>
      <c r="C54" s="28">
        <v>700</v>
      </c>
      <c r="D54" s="27"/>
      <c r="E54" s="39">
        <f t="shared" si="0"/>
        <v>0</v>
      </c>
    </row>
    <row r="55" spans="1:5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</row>
    <row r="56" spans="1:5" ht="15" thickBot="1" x14ac:dyDescent="0.35">
      <c r="A56" s="26" t="s">
        <v>14</v>
      </c>
      <c r="B56" s="27" t="s">
        <v>58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22</v>
      </c>
      <c r="B57" s="27" t="s">
        <v>59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</row>
    <row r="59" spans="1:5" ht="15" thickBot="1" x14ac:dyDescent="0.35">
      <c r="A59" s="26" t="s">
        <v>26</v>
      </c>
      <c r="B59" s="27" t="s">
        <v>61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5" ht="15" thickBot="1" x14ac:dyDescent="0.35">
      <c r="A61" s="26" t="s">
        <v>30</v>
      </c>
      <c r="B61" s="27" t="s">
        <v>63</v>
      </c>
      <c r="C61" s="28">
        <v>800</v>
      </c>
      <c r="D61" s="27"/>
      <c r="E61" s="39">
        <f t="shared" si="0"/>
        <v>0</v>
      </c>
    </row>
    <row r="62" spans="1:5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34</v>
      </c>
      <c r="B63" s="27" t="s">
        <v>65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66</v>
      </c>
      <c r="B64" s="27" t="s">
        <v>67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v>1200</v>
      </c>
      <c r="D67" s="27"/>
      <c r="E67" s="39">
        <f t="shared" si="0"/>
        <v>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v>400</v>
      </c>
      <c r="D69"/>
      <c r="E69" s="39">
        <f t="shared" si="0"/>
        <v>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v>500</v>
      </c>
      <c r="D71"/>
      <c r="E71" s="39">
        <f t="shared" si="0"/>
        <v>0</v>
      </c>
      <c r="M71"/>
    </row>
    <row r="72" spans="1:13" ht="15" thickBot="1" x14ac:dyDescent="0.35">
      <c r="A72" s="11" t="s">
        <v>98</v>
      </c>
      <c r="B72" s="14" t="s">
        <v>99</v>
      </c>
      <c r="C72" s="12">
        <v>800</v>
      </c>
      <c r="D72"/>
      <c r="E72" s="39">
        <f t="shared" si="0"/>
        <v>0</v>
      </c>
      <c r="M72"/>
    </row>
    <row r="73" spans="1:13" ht="15" thickBot="1" x14ac:dyDescent="0.35">
      <c r="A73" s="27"/>
      <c r="B73" s="27"/>
      <c r="C73" s="27"/>
      <c r="D73" s="27"/>
      <c r="E73" s="39">
        <f t="shared" si="0"/>
        <v>0</v>
      </c>
      <c r="M73"/>
    </row>
    <row r="74" spans="1:13" ht="15" thickBot="1" x14ac:dyDescent="0.35">
      <c r="A74" s="31">
        <v>7</v>
      </c>
      <c r="B74" s="22" t="s">
        <v>76</v>
      </c>
      <c r="C74" s="23"/>
      <c r="D74" s="23"/>
      <c r="E74" s="39">
        <f t="shared" si="0"/>
        <v>0</v>
      </c>
      <c r="M74"/>
    </row>
    <row r="75" spans="1:13" ht="15" thickBot="1" x14ac:dyDescent="0.35">
      <c r="A75" s="26" t="s">
        <v>6</v>
      </c>
      <c r="B75" s="27" t="s">
        <v>77</v>
      </c>
      <c r="C75" s="27"/>
      <c r="D75" s="27"/>
      <c r="E75" s="39">
        <f t="shared" ref="E75:E76" si="2">C75*D75</f>
        <v>0</v>
      </c>
      <c r="M75"/>
    </row>
    <row r="76" spans="1:13" ht="15" thickBot="1" x14ac:dyDescent="0.35">
      <c r="A76" s="26" t="s">
        <v>8</v>
      </c>
      <c r="B76" s="27" t="s">
        <v>78</v>
      </c>
      <c r="C76" s="28">
        <v>2000</v>
      </c>
      <c r="D76" s="27"/>
      <c r="E76" s="39">
        <f t="shared" si="2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79" si="3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3"/>
        <v>0</v>
      </c>
    </row>
    <row r="81" spans="2:5" x14ac:dyDescent="0.3">
      <c r="B81" t="s">
        <v>80</v>
      </c>
      <c r="E81" s="13">
        <f>SUM(E2:E77)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7"/>
  <sheetViews>
    <sheetView topLeftCell="A64" zoomScale="80" zoomScaleNormal="55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f>4700/12</f>
        <v>391.66666666666669</v>
      </c>
      <c r="D4">
        <v>12</v>
      </c>
      <c r="E4" s="13">
        <f t="shared" si="0"/>
        <v>4700</v>
      </c>
    </row>
    <row r="5" spans="1:10" x14ac:dyDescent="0.3">
      <c r="A5" s="11" t="s">
        <v>10</v>
      </c>
      <c r="B5" t="s">
        <v>11</v>
      </c>
      <c r="C5" s="12">
        <f>7100/12</f>
        <v>591.66666666666663</v>
      </c>
      <c r="D5">
        <v>12</v>
      </c>
      <c r="E5" s="13">
        <f t="shared" si="0"/>
        <v>7100</v>
      </c>
    </row>
    <row r="6" spans="1:10" x14ac:dyDescent="0.3">
      <c r="A6" s="11" t="s">
        <v>12</v>
      </c>
      <c r="B6" t="s">
        <v>13</v>
      </c>
      <c r="C6" s="12">
        <f>8000/12</f>
        <v>666.66666666666663</v>
      </c>
      <c r="D6">
        <v>12</v>
      </c>
      <c r="E6" s="13">
        <f>D6*C6</f>
        <v>8000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4500/12</f>
        <v>375</v>
      </c>
      <c r="D10">
        <v>12</v>
      </c>
      <c r="E10" s="13">
        <f>D10*C10</f>
        <v>4500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3500/12</f>
        <v>291.66666666666669</v>
      </c>
      <c r="D15">
        <v>12</v>
      </c>
      <c r="E15" s="13">
        <f t="shared" si="0"/>
        <v>3500</v>
      </c>
    </row>
    <row r="16" spans="1:10" x14ac:dyDescent="0.3">
      <c r="A16" s="11" t="s">
        <v>24</v>
      </c>
      <c r="B16" t="s">
        <v>25</v>
      </c>
      <c r="C16" s="12">
        <f>2700/12</f>
        <v>225</v>
      </c>
      <c r="D16">
        <v>12</v>
      </c>
      <c r="E16" s="13">
        <f t="shared" si="0"/>
        <v>2700</v>
      </c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f>3100/12</f>
        <v>258.33333333333331</v>
      </c>
      <c r="D19">
        <v>12</v>
      </c>
      <c r="E19" s="13">
        <f t="shared" si="0"/>
        <v>3100</v>
      </c>
    </row>
    <row r="20" spans="1:5" x14ac:dyDescent="0.3">
      <c r="A20" s="11" t="s">
        <v>32</v>
      </c>
      <c r="B20" t="s">
        <v>33</v>
      </c>
      <c r="C20" s="12">
        <f>3000/36</f>
        <v>83.333333333333329</v>
      </c>
      <c r="D20">
        <v>36</v>
      </c>
      <c r="E20" s="13">
        <f t="shared" si="0"/>
        <v>3000</v>
      </c>
    </row>
    <row r="21" spans="1:5" x14ac:dyDescent="0.3">
      <c r="A21" s="11" t="s">
        <v>34</v>
      </c>
      <c r="B21" t="s">
        <v>35</v>
      </c>
      <c r="C21" s="12">
        <f>3300/12</f>
        <v>275</v>
      </c>
      <c r="D21">
        <v>12</v>
      </c>
      <c r="E21" s="13">
        <f t="shared" si="0"/>
        <v>3300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5500/12</f>
        <v>458.33333333333331</v>
      </c>
      <c r="D24">
        <v>12</v>
      </c>
      <c r="E24" s="13">
        <f t="shared" si="0"/>
        <v>5500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f>6200/12</f>
        <v>516.66666666666663</v>
      </c>
      <c r="D61">
        <v>12</v>
      </c>
      <c r="E61" s="13">
        <f t="shared" si="1"/>
        <v>6200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f>10300/24</f>
        <v>429.16666666666669</v>
      </c>
      <c r="D65">
        <v>24</v>
      </c>
      <c r="E65" s="13">
        <f t="shared" si="1"/>
        <v>10300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4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13" x14ac:dyDescent="0.3">
      <c r="A80" s="47" t="s">
        <v>8</v>
      </c>
      <c r="B80" s="14" t="s">
        <v>115</v>
      </c>
      <c r="C80">
        <v>12500</v>
      </c>
      <c r="D80" s="12">
        <v>1</v>
      </c>
      <c r="E80" s="13">
        <f t="shared" si="2"/>
        <v>12500</v>
      </c>
    </row>
    <row r="81" spans="1:13" x14ac:dyDescent="0.3">
      <c r="A81" s="47" t="s">
        <v>10</v>
      </c>
      <c r="B81" s="14" t="s">
        <v>116</v>
      </c>
      <c r="C81">
        <v>2000</v>
      </c>
      <c r="D81" s="12">
        <v>1</v>
      </c>
      <c r="E81" s="13">
        <f t="shared" si="2"/>
        <v>2000</v>
      </c>
    </row>
    <row r="82" spans="1:13" x14ac:dyDescent="0.3">
      <c r="A82" s="47" t="s">
        <v>12</v>
      </c>
      <c r="B82" s="14" t="s">
        <v>100</v>
      </c>
      <c r="C82">
        <v>1000</v>
      </c>
      <c r="D82" s="12">
        <v>1</v>
      </c>
      <c r="E82" s="13">
        <f t="shared" si="2"/>
        <v>1000</v>
      </c>
    </row>
    <row r="83" spans="1:13" x14ac:dyDescent="0.3">
      <c r="A83" s="47" t="s">
        <v>14</v>
      </c>
      <c r="B83" s="14" t="s">
        <v>117</v>
      </c>
      <c r="C83">
        <v>250</v>
      </c>
      <c r="D83" s="12">
        <v>2</v>
      </c>
      <c r="E83" s="13">
        <f t="shared" si="2"/>
        <v>500</v>
      </c>
    </row>
    <row r="84" spans="1:13" x14ac:dyDescent="0.3">
      <c r="A84" s="47" t="s">
        <v>22</v>
      </c>
      <c r="B84" s="14" t="s">
        <v>118</v>
      </c>
      <c r="C84">
        <v>9000</v>
      </c>
      <c r="D84" s="12">
        <v>1</v>
      </c>
      <c r="E84" s="13">
        <f t="shared" si="2"/>
        <v>9000</v>
      </c>
    </row>
    <row r="85" spans="1:13" x14ac:dyDescent="0.3">
      <c r="A85" s="47"/>
      <c r="B85" s="14"/>
    </row>
    <row r="87" spans="1:13" x14ac:dyDescent="0.3">
      <c r="B87" t="s">
        <v>80</v>
      </c>
      <c r="E87" s="13">
        <f>SUM(E2:E86)</f>
        <v>92400</v>
      </c>
      <c r="M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4"/>
  <sheetViews>
    <sheetView topLeftCell="A65" zoomScale="89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>
        <v>110</v>
      </c>
      <c r="E29" s="13">
        <f t="shared" si="0"/>
        <v>22000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9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9" x14ac:dyDescent="0.3">
      <c r="A50" s="11"/>
      <c r="C50" s="12"/>
      <c r="D50"/>
      <c r="E50" s="13">
        <f t="shared" si="1"/>
        <v>0</v>
      </c>
    </row>
    <row r="51" spans="1:9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9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</row>
    <row r="53" spans="1:9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9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9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9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9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9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</row>
    <row r="59" spans="1:9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9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9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9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9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9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  <c r="I64" s="51"/>
    </row>
    <row r="65" spans="1:5" x14ac:dyDescent="0.3">
      <c r="A65" s="11" t="s">
        <v>68</v>
      </c>
      <c r="B65" s="14" t="s">
        <v>69</v>
      </c>
      <c r="C65" s="12">
        <v>700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500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112</v>
      </c>
      <c r="C80">
        <v>1500</v>
      </c>
      <c r="D80" s="12">
        <v>1</v>
      </c>
      <c r="E80" s="13">
        <f t="shared" si="2"/>
        <v>1500</v>
      </c>
    </row>
    <row r="81" spans="1:5" x14ac:dyDescent="0.3">
      <c r="A81" s="47" t="s">
        <v>10</v>
      </c>
      <c r="B81" s="14" t="s">
        <v>100</v>
      </c>
      <c r="C81">
        <v>850</v>
      </c>
      <c r="D81" s="12">
        <v>1</v>
      </c>
      <c r="E81" s="13">
        <f t="shared" si="2"/>
        <v>850</v>
      </c>
    </row>
    <row r="82" spans="1:5" x14ac:dyDescent="0.3">
      <c r="A82" s="47"/>
      <c r="B82" s="14"/>
      <c r="E82" s="13">
        <f t="shared" si="2"/>
        <v>0</v>
      </c>
    </row>
    <row r="83" spans="1:5" x14ac:dyDescent="0.3">
      <c r="E83" s="13">
        <f t="shared" si="2"/>
        <v>0</v>
      </c>
    </row>
    <row r="84" spans="1:5" x14ac:dyDescent="0.3">
      <c r="B84" t="s">
        <v>80</v>
      </c>
      <c r="E84" s="13">
        <f>SUM(E2:E83)</f>
        <v>29850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4"/>
  <sheetViews>
    <sheetView topLeftCell="A75" workbookViewId="0">
      <selection activeCell="D86" sqref="D8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4800/12</f>
        <v>400</v>
      </c>
      <c r="D3">
        <v>12</v>
      </c>
      <c r="E3" s="13">
        <f t="shared" ref="E3:E42" si="0">D3*C3</f>
        <v>4800</v>
      </c>
    </row>
    <row r="4" spans="1:10" x14ac:dyDescent="0.3">
      <c r="A4" s="11" t="s">
        <v>8</v>
      </c>
      <c r="B4" t="s">
        <v>9</v>
      </c>
      <c r="C4" s="12">
        <f>4700/12</f>
        <v>391.66666666666669</v>
      </c>
      <c r="D4">
        <v>24</v>
      </c>
      <c r="E4" s="13">
        <f t="shared" si="0"/>
        <v>9400</v>
      </c>
      <c r="I4" s="51"/>
    </row>
    <row r="5" spans="1:10" x14ac:dyDescent="0.3">
      <c r="A5" s="11" t="s">
        <v>10</v>
      </c>
      <c r="B5" t="s">
        <v>11</v>
      </c>
      <c r="C5" s="12">
        <f>7100/12</f>
        <v>591.66666666666663</v>
      </c>
      <c r="D5">
        <v>12</v>
      </c>
      <c r="E5" s="13">
        <f t="shared" si="0"/>
        <v>7100</v>
      </c>
    </row>
    <row r="6" spans="1:10" x14ac:dyDescent="0.3">
      <c r="A6" s="11" t="s">
        <v>12</v>
      </c>
      <c r="B6" t="s">
        <v>13</v>
      </c>
      <c r="C6" s="12">
        <f>8000/12</f>
        <v>666.66666666666663</v>
      </c>
      <c r="D6">
        <v>12</v>
      </c>
      <c r="E6" s="13">
        <f>D6*C6</f>
        <v>8000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G7" s="43"/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4500/12</f>
        <v>375</v>
      </c>
      <c r="D10">
        <v>24</v>
      </c>
      <c r="E10" s="13">
        <f>D10*C10</f>
        <v>9000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291.66666666666669</v>
      </c>
      <c r="D15">
        <v>24</v>
      </c>
      <c r="E15" s="13">
        <f t="shared" si="0"/>
        <v>7000</v>
      </c>
    </row>
    <row r="16" spans="1:10" x14ac:dyDescent="0.3">
      <c r="A16" s="11" t="s">
        <v>24</v>
      </c>
      <c r="B16" t="s">
        <v>25</v>
      </c>
      <c r="C16" s="12">
        <f>2700/12</f>
        <v>225</v>
      </c>
      <c r="D16">
        <v>12</v>
      </c>
      <c r="E16" s="13">
        <f t="shared" si="0"/>
        <v>2700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2700/12</f>
        <v>225</v>
      </c>
      <c r="D18">
        <v>24</v>
      </c>
      <c r="E18" s="13">
        <f t="shared" si="0"/>
        <v>5400</v>
      </c>
    </row>
    <row r="19" spans="1:5" x14ac:dyDescent="0.3">
      <c r="A19" s="11" t="s">
        <v>30</v>
      </c>
      <c r="B19" t="s">
        <v>31</v>
      </c>
      <c r="C19" s="12">
        <f>3100/12</f>
        <v>258.33333333333331</v>
      </c>
      <c r="D19">
        <v>24</v>
      </c>
      <c r="E19" s="13">
        <f t="shared" si="0"/>
        <v>6200</v>
      </c>
    </row>
    <row r="20" spans="1:5" x14ac:dyDescent="0.3">
      <c r="A20" s="11" t="s">
        <v>32</v>
      </c>
      <c r="B20" t="s">
        <v>33</v>
      </c>
      <c r="C20" s="12">
        <v>83.333333333333329</v>
      </c>
      <c r="D20">
        <v>60</v>
      </c>
      <c r="E20" s="13">
        <f t="shared" si="0"/>
        <v>5000</v>
      </c>
    </row>
    <row r="21" spans="1:5" x14ac:dyDescent="0.3">
      <c r="A21" s="11" t="s">
        <v>34</v>
      </c>
      <c r="B21" t="s">
        <v>35</v>
      </c>
      <c r="C21" s="12">
        <f>3300/12</f>
        <v>275</v>
      </c>
      <c r="D21">
        <v>24</v>
      </c>
      <c r="E21" s="13">
        <f t="shared" si="0"/>
        <v>6600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5500/12</f>
        <v>458.33333333333331</v>
      </c>
      <c r="D24">
        <v>12</v>
      </c>
      <c r="E24" s="13">
        <f t="shared" si="0"/>
        <v>5500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24000</v>
      </c>
      <c r="D29">
        <v>1</v>
      </c>
      <c r="E29" s="13">
        <f t="shared" si="0"/>
        <v>24000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4600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f>6900/12</f>
        <v>575</v>
      </c>
      <c r="D69">
        <v>12</v>
      </c>
      <c r="E69" s="13">
        <f t="shared" si="1"/>
        <v>6900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113</v>
      </c>
      <c r="C80">
        <v>6250</v>
      </c>
      <c r="D80" s="12">
        <v>1</v>
      </c>
      <c r="E80" s="13">
        <f t="shared" si="2"/>
        <v>6250</v>
      </c>
    </row>
    <row r="81" spans="1:5" x14ac:dyDescent="0.3">
      <c r="A81" s="47" t="s">
        <v>10</v>
      </c>
      <c r="B81" s="14" t="s">
        <v>100</v>
      </c>
      <c r="C81">
        <v>1000</v>
      </c>
      <c r="D81" s="12">
        <v>1</v>
      </c>
      <c r="E81" s="13">
        <f t="shared" si="2"/>
        <v>1000</v>
      </c>
    </row>
    <row r="82" spans="1:5" x14ac:dyDescent="0.3">
      <c r="A82" s="47" t="s">
        <v>12</v>
      </c>
      <c r="B82" s="14"/>
      <c r="E82" s="13">
        <f t="shared" si="2"/>
        <v>0</v>
      </c>
    </row>
    <row r="83" spans="1:5" x14ac:dyDescent="0.3">
      <c r="A83" s="47" t="s">
        <v>14</v>
      </c>
      <c r="E83" s="13">
        <f t="shared" si="2"/>
        <v>0</v>
      </c>
    </row>
    <row r="84" spans="1:5" x14ac:dyDescent="0.3">
      <c r="B84" t="s">
        <v>80</v>
      </c>
      <c r="E84" s="13">
        <f>SUM(E2:E83)</f>
        <v>114850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4"/>
  <sheetViews>
    <sheetView topLeftCell="A69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2500</v>
      </c>
      <c r="D52">
        <v>1</v>
      </c>
      <c r="E52" s="13">
        <f t="shared" si="1"/>
        <v>2500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111</v>
      </c>
      <c r="C80">
        <v>12500</v>
      </c>
      <c r="D80" s="12">
        <v>1</v>
      </c>
      <c r="E80" s="13">
        <f t="shared" si="2"/>
        <v>12500</v>
      </c>
    </row>
    <row r="81" spans="1:5" x14ac:dyDescent="0.3">
      <c r="A81" s="47"/>
      <c r="B81" s="14"/>
      <c r="E81" s="13">
        <f t="shared" si="2"/>
        <v>0</v>
      </c>
    </row>
    <row r="82" spans="1:5" x14ac:dyDescent="0.3">
      <c r="A82" s="47"/>
      <c r="B82" s="14"/>
      <c r="E82" s="13">
        <f t="shared" si="2"/>
        <v>0</v>
      </c>
    </row>
    <row r="83" spans="1:5" x14ac:dyDescent="0.3">
      <c r="E83" s="13">
        <f t="shared" si="2"/>
        <v>0</v>
      </c>
    </row>
    <row r="84" spans="1:5" x14ac:dyDescent="0.3">
      <c r="B84" t="s">
        <v>80</v>
      </c>
      <c r="E84" s="13">
        <f>SUM(E2:E83)</f>
        <v>15000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94"/>
  <sheetViews>
    <sheetView tabSelected="1" topLeftCell="A77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30000</v>
      </c>
      <c r="D28">
        <v>1</v>
      </c>
      <c r="E28" s="13">
        <f t="shared" si="0"/>
        <v>30000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50">
        <v>500</v>
      </c>
      <c r="D38"/>
      <c r="E38" s="13">
        <f t="shared" si="0"/>
        <v>0</v>
      </c>
      <c r="M38" s="33"/>
    </row>
    <row r="39" spans="1:13" x14ac:dyDescent="0.3">
      <c r="C39" s="12"/>
      <c r="D39"/>
      <c r="E39" s="13">
        <f t="shared" si="0"/>
        <v>0</v>
      </c>
      <c r="M39" s="33"/>
    </row>
    <row r="40" spans="1:13" x14ac:dyDescent="0.3">
      <c r="A40" s="6">
        <v>4</v>
      </c>
      <c r="B40" s="7" t="s">
        <v>44</v>
      </c>
      <c r="C40" s="9"/>
      <c r="D40" s="8"/>
      <c r="E40" s="10">
        <f t="shared" si="0"/>
        <v>0</v>
      </c>
      <c r="M40" s="33"/>
    </row>
    <row r="41" spans="1:13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  <c r="M41" s="33"/>
    </row>
    <row r="42" spans="1:13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  <c r="M42" s="33"/>
    </row>
    <row r="43" spans="1:13" x14ac:dyDescent="0.3">
      <c r="A43" s="11" t="s">
        <v>10</v>
      </c>
      <c r="B43" t="s">
        <v>47</v>
      </c>
      <c r="C43" s="12"/>
      <c r="E43" s="13">
        <f>D44*C43</f>
        <v>0</v>
      </c>
      <c r="M43" s="33"/>
    </row>
    <row r="44" spans="1:13" x14ac:dyDescent="0.3">
      <c r="A44" s="11" t="s">
        <v>12</v>
      </c>
      <c r="B44" t="s">
        <v>48</v>
      </c>
      <c r="C44" s="12"/>
      <c r="D44"/>
      <c r="E44" s="13">
        <f>D45*C44</f>
        <v>0</v>
      </c>
      <c r="M44" s="33"/>
    </row>
    <row r="45" spans="1:13" x14ac:dyDescent="0.3">
      <c r="A45" s="11" t="s">
        <v>14</v>
      </c>
      <c r="B45" t="s">
        <v>49</v>
      </c>
      <c r="C45" s="12"/>
      <c r="D45"/>
      <c r="E45" s="13">
        <f t="shared" ref="E45:E83" si="1">D45*C45</f>
        <v>0</v>
      </c>
      <c r="M45" s="33"/>
    </row>
    <row r="46" spans="1:13" x14ac:dyDescent="0.3">
      <c r="C46" s="12"/>
      <c r="D46"/>
      <c r="E46" s="13">
        <f t="shared" si="1"/>
        <v>0</v>
      </c>
      <c r="M46" s="33"/>
    </row>
    <row r="47" spans="1:13" x14ac:dyDescent="0.3">
      <c r="A47" s="6">
        <v>5</v>
      </c>
      <c r="B47" s="7" t="s">
        <v>50</v>
      </c>
      <c r="C47" s="9"/>
      <c r="D47" s="8"/>
      <c r="E47" s="10">
        <f t="shared" si="1"/>
        <v>0</v>
      </c>
      <c r="M47" s="33"/>
    </row>
    <row r="48" spans="1:13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  <c r="M48" s="33"/>
    </row>
    <row r="49" spans="1:13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  <c r="M49" s="33"/>
    </row>
    <row r="50" spans="1:13" x14ac:dyDescent="0.3">
      <c r="A50" s="11"/>
      <c r="C50" s="12"/>
      <c r="D50"/>
      <c r="E50" s="13">
        <f t="shared" si="1"/>
        <v>0</v>
      </c>
      <c r="M50" s="33"/>
    </row>
    <row r="51" spans="1:13" x14ac:dyDescent="0.3">
      <c r="A51" s="6">
        <v>6</v>
      </c>
      <c r="B51" s="7" t="s">
        <v>53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s="14" t="s">
        <v>54</v>
      </c>
      <c r="C52" s="12">
        <v>5000</v>
      </c>
      <c r="D52">
        <v>1</v>
      </c>
      <c r="E52" s="13">
        <f t="shared" si="1"/>
        <v>5000</v>
      </c>
      <c r="M52" s="33"/>
    </row>
    <row r="53" spans="1:13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  <c r="M53" s="33"/>
    </row>
    <row r="54" spans="1:13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  <c r="M54" s="33"/>
    </row>
    <row r="55" spans="1:13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  <c r="M55" s="33"/>
    </row>
    <row r="56" spans="1:13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  <c r="M56" s="33"/>
    </row>
    <row r="57" spans="1:13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  <c r="M58" s="33"/>
    </row>
    <row r="59" spans="1:13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  <c r="M60" s="33"/>
    </row>
    <row r="61" spans="1:13" x14ac:dyDescent="0.3">
      <c r="A61" s="11" t="s">
        <v>30</v>
      </c>
      <c r="B61" s="14" t="s">
        <v>63</v>
      </c>
      <c r="C61" s="12">
        <f>6100/12</f>
        <v>508.33333333333331</v>
      </c>
      <c r="D61">
        <v>12</v>
      </c>
      <c r="E61" s="13">
        <f t="shared" si="1"/>
        <v>6100</v>
      </c>
      <c r="M61" s="33"/>
    </row>
    <row r="62" spans="1:13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  <c r="M62" s="33"/>
    </row>
    <row r="63" spans="1:13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  <c r="M63" s="33"/>
    </row>
    <row r="64" spans="1:13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  <c r="M64" s="33"/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  <c r="M65" s="33"/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  <c r="M66" s="33"/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  <c r="M67" s="33"/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M68" s="33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 s="33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 s="33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 s="33"/>
    </row>
    <row r="72" spans="1:13" x14ac:dyDescent="0.3">
      <c r="A72" s="11" t="s">
        <v>98</v>
      </c>
      <c r="B72" s="14" t="s">
        <v>99</v>
      </c>
      <c r="C72" s="12">
        <v>800</v>
      </c>
      <c r="D72"/>
      <c r="M72" s="33"/>
    </row>
    <row r="73" spans="1:13" x14ac:dyDescent="0.3">
      <c r="C73" s="12"/>
      <c r="D73"/>
      <c r="E73" s="13">
        <f t="shared" si="1"/>
        <v>0</v>
      </c>
      <c r="M73" s="3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 s="33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 s="33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 s="33"/>
    </row>
    <row r="77" spans="1:13" x14ac:dyDescent="0.3">
      <c r="A77" s="11"/>
      <c r="B77" s="14"/>
      <c r="C77" s="12"/>
      <c r="D77"/>
      <c r="E77" s="13">
        <f t="shared" si="1"/>
        <v>0</v>
      </c>
      <c r="M77" s="33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" si="2">D78*C78</f>
        <v>0</v>
      </c>
      <c r="M78" s="33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 s="33"/>
    </row>
    <row r="80" spans="1:13" x14ac:dyDescent="0.3">
      <c r="A80" s="47" t="s">
        <v>8</v>
      </c>
      <c r="B80" s="14" t="s">
        <v>114</v>
      </c>
      <c r="C80">
        <v>12000</v>
      </c>
      <c r="D80" s="12">
        <v>1</v>
      </c>
      <c r="E80" s="13">
        <f t="shared" si="1"/>
        <v>12000</v>
      </c>
      <c r="M80" s="33"/>
    </row>
    <row r="81" spans="1:13" x14ac:dyDescent="0.3">
      <c r="A81" s="47" t="s">
        <v>10</v>
      </c>
      <c r="B81" s="14" t="s">
        <v>118</v>
      </c>
      <c r="C81">
        <v>2000</v>
      </c>
      <c r="D81" s="12">
        <v>1</v>
      </c>
      <c r="E81" s="13">
        <f t="shared" si="1"/>
        <v>2000</v>
      </c>
      <c r="M81" s="33"/>
    </row>
    <row r="82" spans="1:13" x14ac:dyDescent="0.3">
      <c r="E82" s="13">
        <f t="shared" si="1"/>
        <v>0</v>
      </c>
      <c r="M82" s="33"/>
    </row>
    <row r="83" spans="1:13" x14ac:dyDescent="0.3">
      <c r="E83" s="13">
        <f t="shared" si="1"/>
        <v>0</v>
      </c>
      <c r="M83" s="33"/>
    </row>
    <row r="84" spans="1:13" x14ac:dyDescent="0.3">
      <c r="B84" t="s">
        <v>80</v>
      </c>
      <c r="E84" s="13">
        <f>SUM(E2:E83)</f>
        <v>55100</v>
      </c>
    </row>
    <row r="90" spans="1:13" x14ac:dyDescent="0.3">
      <c r="H90" s="43"/>
      <c r="K90" s="51"/>
    </row>
    <row r="92" spans="1:13" x14ac:dyDescent="0.3">
      <c r="K92" s="51"/>
    </row>
    <row r="94" spans="1:13" x14ac:dyDescent="0.3">
      <c r="K94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Expence-1</vt:lpstr>
      <vt:lpstr>Expence-2</vt:lpstr>
      <vt:lpstr>Expence-3</vt:lpstr>
      <vt:lpstr>Expence-4</vt:lpstr>
      <vt:lpstr>Expence-5</vt:lpstr>
      <vt:lpstr>Expence-6</vt:lpstr>
      <vt:lpstr>Expence-7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2024-03-17T12:41:42Z</dcterms:modified>
</cp:coreProperties>
</file>
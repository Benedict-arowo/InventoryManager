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Feb\"/>
    </mc:Choice>
  </mc:AlternateContent>
  <xr:revisionPtr revIDLastSave="0" documentId="13_ncr:1_{D8FF860A-AE83-4308-A9CF-0FDCCC81184E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Expence-8" sheetId="1" r:id="rId2"/>
    <sheet name="Expence-9" sheetId="2" r:id="rId3"/>
    <sheet name="Expence-10" sheetId="3" r:id="rId4"/>
    <sheet name="Expence-11" sheetId="4" r:id="rId5"/>
    <sheet name="Expence-12" sheetId="5" r:id="rId6"/>
    <sheet name="Expence-13" sheetId="6" r:id="rId7"/>
    <sheet name="Expence-14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7" l="1"/>
  <c r="C70" i="7"/>
  <c r="E73" i="7"/>
  <c r="E72" i="7"/>
  <c r="C61" i="7"/>
  <c r="C37" i="7"/>
  <c r="E95" i="7"/>
  <c r="C73" i="7"/>
  <c r="E94" i="7"/>
  <c r="E93" i="7"/>
  <c r="E91" i="7"/>
  <c r="E90" i="7"/>
  <c r="E89" i="7"/>
  <c r="E88" i="7"/>
  <c r="E87" i="7"/>
  <c r="E86" i="7"/>
  <c r="C58" i="7"/>
  <c r="C14" i="7"/>
  <c r="C53" i="7"/>
  <c r="C32" i="7"/>
  <c r="E83" i="7"/>
  <c r="E82" i="7"/>
  <c r="E84" i="7"/>
  <c r="E85" i="7"/>
  <c r="C20" i="6"/>
  <c r="E82" i="6"/>
  <c r="C19" i="5"/>
  <c r="C11" i="5"/>
  <c r="C24" i="5"/>
  <c r="C10" i="5"/>
  <c r="C21" i="5"/>
  <c r="C16" i="5"/>
  <c r="C18" i="5"/>
  <c r="C3" i="5"/>
  <c r="C4" i="5"/>
  <c r="E81" i="3"/>
  <c r="E82" i="3"/>
  <c r="E83" i="3"/>
  <c r="E84" i="3"/>
  <c r="E85" i="3"/>
  <c r="E80" i="3"/>
  <c r="E83" i="2"/>
  <c r="E84" i="2"/>
  <c r="E82" i="2"/>
  <c r="E81" i="2"/>
  <c r="E80" i="2"/>
  <c r="C64" i="2"/>
  <c r="C59" i="2"/>
  <c r="C63" i="2"/>
  <c r="C71" i="2"/>
  <c r="C61" i="2"/>
  <c r="C53" i="2"/>
  <c r="C67" i="2"/>
  <c r="C56" i="2"/>
  <c r="C54" i="2"/>
  <c r="E81" i="1"/>
  <c r="E82" i="1"/>
  <c r="E83" i="1"/>
  <c r="E84" i="1"/>
  <c r="E85" i="1"/>
  <c r="E81" i="7"/>
  <c r="E97" i="7"/>
  <c r="E80" i="6" l="1"/>
  <c r="E84" i="6"/>
  <c r="E83" i="6"/>
  <c r="E81" i="6"/>
  <c r="E83" i="5"/>
  <c r="E82" i="5"/>
  <c r="E81" i="5"/>
  <c r="E80" i="5"/>
  <c r="C6" i="5"/>
  <c r="E25" i="5"/>
  <c r="G25" i="8" s="1"/>
  <c r="C69" i="5"/>
  <c r="C5" i="5"/>
  <c r="E83" i="4"/>
  <c r="E82" i="4"/>
  <c r="E81" i="4"/>
  <c r="E80" i="4"/>
  <c r="E80" i="1"/>
  <c r="J80" i="8"/>
  <c r="J81" i="8"/>
  <c r="J82" i="8"/>
  <c r="I72" i="8"/>
  <c r="H72" i="8"/>
  <c r="H77" i="8"/>
  <c r="G72" i="8"/>
  <c r="G77" i="8"/>
  <c r="F72" i="8"/>
  <c r="F77" i="8"/>
  <c r="E77" i="8"/>
  <c r="D77" i="8"/>
  <c r="C72" i="8"/>
  <c r="C77" i="8"/>
  <c r="E72" i="3"/>
  <c r="E72" i="8" s="1"/>
  <c r="E72" i="2"/>
  <c r="D72" i="8" s="1"/>
  <c r="C42" i="1"/>
  <c r="I22" i="8"/>
  <c r="I23" i="8"/>
  <c r="I24" i="8"/>
  <c r="I25" i="8"/>
  <c r="F25" i="8"/>
  <c r="E23" i="8"/>
  <c r="E24" i="8"/>
  <c r="E79" i="6"/>
  <c r="H79" i="8" s="1"/>
  <c r="E78" i="6"/>
  <c r="H78" i="8" s="1"/>
  <c r="E79" i="5"/>
  <c r="G79" i="8" s="1"/>
  <c r="E78" i="5"/>
  <c r="G78" i="8" s="1"/>
  <c r="E79" i="4"/>
  <c r="F79" i="8" s="1"/>
  <c r="E78" i="4"/>
  <c r="F78" i="8" s="1"/>
  <c r="E79" i="3"/>
  <c r="E79" i="8" s="1"/>
  <c r="E78" i="3"/>
  <c r="E78" i="8" s="1"/>
  <c r="D79" i="8"/>
  <c r="E79" i="2"/>
  <c r="D78" i="8" s="1"/>
  <c r="E79" i="1"/>
  <c r="C79" i="8" s="1"/>
  <c r="E78" i="1"/>
  <c r="C78" i="8" s="1"/>
  <c r="E38" i="1"/>
  <c r="C38" i="8" s="1"/>
  <c r="E38" i="2"/>
  <c r="D38" i="8" s="1"/>
  <c r="E38" i="3"/>
  <c r="E38" i="8" s="1"/>
  <c r="E38" i="4"/>
  <c r="F38" i="8" s="1"/>
  <c r="E38" i="5"/>
  <c r="G38" i="8" s="1"/>
  <c r="E38" i="6"/>
  <c r="H38" i="8" s="1"/>
  <c r="E92" i="7"/>
  <c r="E80" i="7"/>
  <c r="I79" i="8" s="1"/>
  <c r="E78" i="7"/>
  <c r="I77" i="8" s="1"/>
  <c r="E79" i="7"/>
  <c r="I78" i="8" s="1"/>
  <c r="E38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E23" i="5"/>
  <c r="G23" i="8" s="1"/>
  <c r="E22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4" i="4"/>
  <c r="F24" i="8" s="1"/>
  <c r="E25" i="3"/>
  <c r="E25" i="8" s="1"/>
  <c r="E22" i="2"/>
  <c r="D22" i="8" s="1"/>
  <c r="C58" i="1"/>
  <c r="E22" i="5"/>
  <c r="G22" i="8" s="1"/>
  <c r="E23" i="4"/>
  <c r="F23" i="8" s="1"/>
  <c r="E22" i="4"/>
  <c r="F22" i="8" s="1"/>
  <c r="E35" i="1"/>
  <c r="C35" i="8" s="1"/>
  <c r="E22" i="1"/>
  <c r="C22" i="8" s="1"/>
  <c r="E35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D28" i="8" s="1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3" i="2"/>
  <c r="D73" i="8" s="1"/>
  <c r="E75" i="2"/>
  <c r="D74" i="8" s="1"/>
  <c r="E76" i="2"/>
  <c r="D75" i="8" s="1"/>
  <c r="E77" i="2"/>
  <c r="D76" i="8" s="1"/>
  <c r="E3" i="2"/>
  <c r="E37" i="6"/>
  <c r="H37" i="8" s="1"/>
  <c r="E36" i="6"/>
  <c r="H36" i="8" s="1"/>
  <c r="E37" i="5"/>
  <c r="G37" i="8" s="1"/>
  <c r="E36" i="5"/>
  <c r="G36" i="8" s="1"/>
  <c r="E37" i="4"/>
  <c r="F37" i="8" s="1"/>
  <c r="E36" i="4"/>
  <c r="F36" i="8" s="1"/>
  <c r="E37" i="3"/>
  <c r="E37" i="8" s="1"/>
  <c r="E36" i="3"/>
  <c r="E36" i="8" s="1"/>
  <c r="E36" i="1"/>
  <c r="C36" i="8" s="1"/>
  <c r="E37" i="1"/>
  <c r="C37" i="8" s="1"/>
  <c r="E71" i="1"/>
  <c r="C71" i="8" s="1"/>
  <c r="E70" i="1"/>
  <c r="E69" i="1"/>
  <c r="C69" i="8" s="1"/>
  <c r="E71" i="3"/>
  <c r="E71" i="8" s="1"/>
  <c r="E70" i="3"/>
  <c r="E70" i="8" s="1"/>
  <c r="D52" i="8" l="1"/>
  <c r="E85" i="2"/>
  <c r="C70" i="8"/>
  <c r="E86" i="1"/>
  <c r="D3" i="8"/>
  <c r="D83" i="8" l="1"/>
  <c r="E77" i="7"/>
  <c r="I76" i="8" s="1"/>
  <c r="E76" i="7"/>
  <c r="I75" i="8" s="1"/>
  <c r="E75" i="7"/>
  <c r="I74" i="8" s="1"/>
  <c r="E74" i="7"/>
  <c r="I73" i="8" s="1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J37" i="8" s="1"/>
  <c r="E36" i="7"/>
  <c r="I36" i="8" s="1"/>
  <c r="J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61" i="8" l="1"/>
  <c r="I83" i="8" s="1"/>
  <c r="E98" i="7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E85" i="6" l="1"/>
  <c r="H83" i="8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76" i="5"/>
  <c r="G76" i="8" s="1"/>
  <c r="E75" i="5"/>
  <c r="G75" i="8" s="1"/>
  <c r="E74" i="5"/>
  <c r="G74" i="8" s="1"/>
  <c r="E73" i="5"/>
  <c r="G73" i="8" s="1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G52" i="8" s="1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6" i="4"/>
  <c r="F76" i="8" s="1"/>
  <c r="E75" i="4"/>
  <c r="F75" i="8" s="1"/>
  <c r="E74" i="4"/>
  <c r="F74" i="8" s="1"/>
  <c r="E73" i="4"/>
  <c r="F73" i="8" s="1"/>
  <c r="E71" i="4"/>
  <c r="F71" i="8" s="1"/>
  <c r="J71" i="8" s="1"/>
  <c r="E70" i="4"/>
  <c r="F70" i="8" s="1"/>
  <c r="J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F52" i="8" s="1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4" i="4" l="1"/>
  <c r="E76" i="3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E86" i="3" l="1"/>
  <c r="F83" i="8"/>
  <c r="E3" i="8"/>
  <c r="J3" i="8" l="1"/>
  <c r="E83" i="8"/>
  <c r="J83" i="8" s="1"/>
</calcChain>
</file>

<file path=xl/sharedStrings.xml><?xml version="1.0" encoding="utf-8"?>
<sst xmlns="http://schemas.openxmlformats.org/spreadsheetml/2006/main" count="1189" uniqueCount="130">
  <si>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</si>
  <si>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</si>
  <si>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</si>
  <si>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</si>
  <si>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</si>
  <si>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</si>
  <si>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</si>
  <si>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</si>
  <si>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</si>
  <si>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</si>
  <si>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</si>
  <si>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</si>
  <si>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</si>
  <si>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</si>
  <si>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</si>
  <si>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</si>
  <si>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</si>
  <si>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</si>
  <si>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</si>
  <si>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</si>
  <si>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</si>
  <si>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</si>
  <si>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</si>
  <si>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</si>
  <si>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</si>
  <si>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</si>
  <si>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</si>
  <si>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</si>
  <si>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</si>
  <si>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</si>
  <si>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</si>
  <si>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</si>
  <si>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</si>
  <si>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</si>
  <si>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</si>
  <si>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</si>
  <si>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</si>
  <si>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</si>
  <si>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</si>
  <si>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</si>
  <si>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</si>
  <si>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</si>
  <si>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</si>
  <si>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</si>
  <si>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</si>
  <si>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</si>
  <si>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</si>
  <si>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</si>
  <si>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</si>
  <si>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</si>
  <si>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</si>
  <si>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</si>
  <si>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</si>
  <si>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</si>
  <si>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</si>
  <si>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</si>
  <si>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</si>
  <si>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</si>
  <si>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</si>
  <si>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</si>
  <si>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</si>
  <si>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</si>
  <si>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</si>
  <si>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</si>
  <si>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</si>
  <si>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</si>
  <si>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</si>
  <si>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</si>
  <si>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</si>
  <si>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</si>
  <si>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</si>
  <si>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</si>
  <si>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</si>
  <si>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</si>
  <si>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</si>
  <si>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</si>
  <si>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</si>
  <si>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</si>
  <si>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</si>
  <si>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</si>
  <si>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</si>
  <si>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</si>
  <si>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</si>
  <si>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</si>
  <si>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</si>
  <si>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</si>
  <si>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</si>
  <si>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</si>
  <si>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</si>
  <si>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</si>
  <si>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</si>
  <si>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</si>
  <si>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</si>
  <si>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</si>
  <si>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</si>
  <si>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</si>
  <si>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</si>
  <si>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</si>
  <si>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</si>
  <si>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</si>
  <si>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Curry &amp; Thyme</t>
  </si>
  <si>
    <t>Maagi</t>
  </si>
  <si>
    <t>Toothpick</t>
  </si>
  <si>
    <t>Car Petrol</t>
  </si>
  <si>
    <t>Yam</t>
  </si>
  <si>
    <t>v</t>
  </si>
  <si>
    <t>Action bitter big</t>
  </si>
  <si>
    <t>POS</t>
  </si>
  <si>
    <t>Bamboo</t>
  </si>
  <si>
    <t>Transport</t>
  </si>
  <si>
    <t>Brush</t>
  </si>
  <si>
    <t>Bike</t>
  </si>
  <si>
    <t>Pepper</t>
  </si>
  <si>
    <t>Onion</t>
  </si>
  <si>
    <t>Vegetable Oil</t>
  </si>
  <si>
    <t>Pepper soup spice</t>
  </si>
  <si>
    <t>Fish</t>
  </si>
  <si>
    <t>Car petrol</t>
  </si>
  <si>
    <t>Palm wine 2 kegs</t>
  </si>
  <si>
    <t>Petrol (DJ Gen)</t>
  </si>
  <si>
    <t>Ogunfe</t>
  </si>
  <si>
    <t>LG light</t>
  </si>
  <si>
    <t>Maggi</t>
  </si>
  <si>
    <t>Locust seed</t>
  </si>
  <si>
    <t>Tumeric</t>
  </si>
  <si>
    <t>Ginger &amp; garlic</t>
  </si>
  <si>
    <t>Saint leaf</t>
  </si>
  <si>
    <t>Salt</t>
  </si>
  <si>
    <t>Nylon</t>
  </si>
  <si>
    <t>Don simon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</si>
</sst>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3" fontId="0" fillId="0" borderId="0" xfId="0" applyNumberFormat="1"/>
    <xf numFmtId="0" fontId="0" fillId="0" borderId="1" xfId="0" applyBorder="1" applyAlignment="1">
      <alignment horizontal="center" wrapText="1"/>
    </xf>
    <xf numFmtId="0" fontId="0" fillId="0" borderId="0" xfId="0" applyFill="1"/>
    <xf numFmtId="3" fontId="0" fillId="0" borderId="0" xfId="0" applyNumberFormat="1" applyFill="1"/>
    <xf numFmtId="0" fontId="0" fillId="0" borderId="0" xfId="0" applyFill="1" applyAlignment="1">
      <alignment wrapText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11" zoomScale="77" zoomScaleNormal="100" zoomScaleSheetLayoutView="106" workbookViewId="0">
      <selection activeCell="H20" sqref="H20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'Expence-8'!E3</f>
        <v>0</v>
      </c>
      <c r="D3" s="36">
        <f>'Expence-9'!E3</f>
        <v>0</v>
      </c>
      <c r="E3" s="36">
        <f>'Expence-10'!E3</f>
        <v>0</v>
      </c>
      <c r="F3" s="36">
        <f>'Expence-11'!E3</f>
        <v>0</v>
      </c>
      <c r="G3" s="36">
        <f>'Expence-12'!E3</f>
        <v>9600</v>
      </c>
      <c r="H3" s="36">
        <f>'Expence-13'!E3</f>
        <v>0</v>
      </c>
      <c r="I3" s="36">
        <f>'Expence-14'!E3</f>
        <v>0</v>
      </c>
      <c r="J3" s="34">
        <f>SUM(C3:I3)</f>
        <v>9600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'Expence-8'!E4</f>
        <v>0</v>
      </c>
      <c r="D4" s="36">
        <f>'Expence-9'!E4</f>
        <v>0</v>
      </c>
      <c r="E4" s="36">
        <f>'Expence-10'!E4</f>
        <v>0</v>
      </c>
      <c r="F4" s="36">
        <f>'Expence-11'!E4</f>
        <v>0</v>
      </c>
      <c r="G4" s="36">
        <f>'Expence-12'!E4</f>
        <v>9600</v>
      </c>
      <c r="H4" s="36">
        <f>'Expence-13'!E4</f>
        <v>0</v>
      </c>
      <c r="I4" s="36">
        <f>'Expence-14'!E4</f>
        <v>0</v>
      </c>
      <c r="J4" s="34">
        <f t="shared" ref="J4:J67" si="0">SUM(C4:I4)</f>
        <v>9600</v>
      </c>
    </row>
    <row r="5" spans="1:15" ht="15" thickBot="1" x14ac:dyDescent="0.35">
      <c r="A5" s="26" t="s">
        <v>10</v>
      </c>
      <c r="B5" s="27" t="s">
        <v>11</v>
      </c>
      <c r="C5" s="36">
        <f>'Expence-8'!E5</f>
        <v>0</v>
      </c>
      <c r="D5" s="36">
        <f>'Expence-9'!E5</f>
        <v>0</v>
      </c>
      <c r="E5" s="36">
        <f>'Expence-10'!E5</f>
        <v>0</v>
      </c>
      <c r="F5" s="36">
        <f>'Expence-11'!E5</f>
        <v>0</v>
      </c>
      <c r="G5" s="36">
        <f>'Expence-12'!E5</f>
        <v>7100</v>
      </c>
      <c r="H5" s="36">
        <f>'Expence-13'!E5</f>
        <v>0</v>
      </c>
      <c r="I5" s="36">
        <f>'Expence-14'!E5</f>
        <v>0</v>
      </c>
      <c r="J5" s="34">
        <f t="shared" si="0"/>
        <v>7100</v>
      </c>
    </row>
    <row r="6" spans="1:15" ht="15" thickBot="1" x14ac:dyDescent="0.35">
      <c r="A6" s="26" t="s">
        <v>12</v>
      </c>
      <c r="B6" s="27" t="s">
        <v>13</v>
      </c>
      <c r="C6" s="36">
        <f>'Expence-8'!E6</f>
        <v>0</v>
      </c>
      <c r="D6" s="36">
        <f>'Expence-9'!E6</f>
        <v>0</v>
      </c>
      <c r="E6" s="36">
        <f>'Expence-10'!E6</f>
        <v>0</v>
      </c>
      <c r="F6" s="36">
        <f>'Expence-11'!E6</f>
        <v>0</v>
      </c>
      <c r="G6" s="36">
        <f>'Expence-12'!E6</f>
        <v>8000</v>
      </c>
      <c r="H6" s="36">
        <f>'Expence-13'!E6</f>
        <v>0</v>
      </c>
      <c r="I6" s="36">
        <f>'Expence-14'!E6</f>
        <v>0</v>
      </c>
      <c r="J6" s="34">
        <f t="shared" si="0"/>
        <v>8000</v>
      </c>
    </row>
    <row r="7" spans="1:15" ht="15" thickBot="1" x14ac:dyDescent="0.35">
      <c r="A7" s="26" t="s">
        <v>14</v>
      </c>
      <c r="B7" s="27" t="s">
        <v>15</v>
      </c>
      <c r="C7" s="36">
        <f>'Expence-8'!E7</f>
        <v>0</v>
      </c>
      <c r="D7" s="36">
        <f>'Expence-9'!E7</f>
        <v>0</v>
      </c>
      <c r="E7" s="36">
        <f>'Expence-10'!E7</f>
        <v>0</v>
      </c>
      <c r="F7" s="36">
        <f>'Expence-11'!E7</f>
        <v>0</v>
      </c>
      <c r="G7" s="36">
        <f>'Expence-12'!E7</f>
        <v>0</v>
      </c>
      <c r="H7" s="36">
        <f>'Expence-13'!E7</f>
        <v>0</v>
      </c>
      <c r="I7" s="36">
        <f>'Expence-14'!E7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'Expence-8'!E8</f>
        <v>0</v>
      </c>
      <c r="D8" s="36">
        <f>'Expence-9'!E8</f>
        <v>0</v>
      </c>
      <c r="E8" s="36">
        <f>'Expence-10'!E8</f>
        <v>0</v>
      </c>
      <c r="F8" s="36">
        <f>'Expence-11'!E8</f>
        <v>0</v>
      </c>
      <c r="G8" s="36">
        <f>'Expence-12'!E8</f>
        <v>0</v>
      </c>
      <c r="H8" s="36">
        <f>'Expence-13'!E8</f>
        <v>0</v>
      </c>
      <c r="I8" s="36">
        <f>'Expence-14'!E8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'Expence-8'!E9</f>
        <v>0</v>
      </c>
      <c r="D9" s="36">
        <f>'Expence-9'!E9</f>
        <v>0</v>
      </c>
      <c r="E9" s="36">
        <f>'Expence-10'!E9</f>
        <v>0</v>
      </c>
      <c r="F9" s="36">
        <f>'Expence-11'!E9</f>
        <v>0</v>
      </c>
      <c r="G9" s="36">
        <f>'Expence-12'!E9</f>
        <v>0</v>
      </c>
      <c r="H9" s="36">
        <f>'Expence-13'!E9</f>
        <v>0</v>
      </c>
      <c r="I9" s="36">
        <f>'Expence-14'!E9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'Expence-8'!E10</f>
        <v>0</v>
      </c>
      <c r="D10" s="36">
        <f>'Expence-9'!E10</f>
        <v>0</v>
      </c>
      <c r="E10" s="36">
        <f>'Expence-10'!E10</f>
        <v>0</v>
      </c>
      <c r="F10" s="36">
        <f>'Expence-11'!E10</f>
        <v>0</v>
      </c>
      <c r="G10" s="36">
        <f>'Expence-12'!E10</f>
        <v>4200</v>
      </c>
      <c r="H10" s="36">
        <f>'Expence-13'!E10</f>
        <v>0</v>
      </c>
      <c r="I10" s="36">
        <f>'Expence-14'!E10</f>
        <v>0</v>
      </c>
      <c r="J10" s="34">
        <f t="shared" si="0"/>
        <v>4200</v>
      </c>
    </row>
    <row r="11" spans="1:15" ht="15" thickBot="1" x14ac:dyDescent="0.35">
      <c r="A11" s="26" t="s">
        <v>8</v>
      </c>
      <c r="B11" s="27" t="s">
        <v>18</v>
      </c>
      <c r="C11" s="36">
        <f>'Expence-8'!E11</f>
        <v>0</v>
      </c>
      <c r="D11" s="36">
        <f>'Expence-9'!E11</f>
        <v>0</v>
      </c>
      <c r="E11" s="36">
        <f>'Expence-10'!E11</f>
        <v>0</v>
      </c>
      <c r="F11" s="36">
        <f>'Expence-11'!E11</f>
        <v>0</v>
      </c>
      <c r="G11" s="36">
        <f>'Expence-12'!E11</f>
        <v>2800</v>
      </c>
      <c r="H11" s="36">
        <f>'Expence-13'!E11</f>
        <v>0</v>
      </c>
      <c r="I11" s="36">
        <f>'Expence-14'!E11</f>
        <v>0</v>
      </c>
      <c r="J11" s="34">
        <f t="shared" si="0"/>
        <v>2800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'Expence-8'!E12</f>
        <v>0</v>
      </c>
      <c r="D12" s="36">
        <f>'Expence-9'!E12</f>
        <v>0</v>
      </c>
      <c r="E12" s="36">
        <f>'Expence-10'!E12</f>
        <v>0</v>
      </c>
      <c r="F12" s="36">
        <f>'Expence-11'!E12</f>
        <v>0</v>
      </c>
      <c r="G12" s="36">
        <f>'Expence-12'!E12</f>
        <v>0</v>
      </c>
      <c r="H12" s="36">
        <f>'Expence-13'!E12</f>
        <v>0</v>
      </c>
      <c r="I12" s="36">
        <f>'Expence-14'!E12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'Expence-8'!E13</f>
        <v>0</v>
      </c>
      <c r="D13" s="36">
        <f>'Expence-9'!E13</f>
        <v>0</v>
      </c>
      <c r="E13" s="36">
        <f>'Expence-10'!E13</f>
        <v>0</v>
      </c>
      <c r="F13" s="36">
        <f>'Expence-11'!E13</f>
        <v>0</v>
      </c>
      <c r="G13" s="36">
        <f>'Expence-12'!E13</f>
        <v>0</v>
      </c>
      <c r="H13" s="36">
        <f>'Expence-13'!E13</f>
        <v>0</v>
      </c>
      <c r="I13" s="36">
        <f>'Expence-14'!E13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'Expence-8'!E14</f>
        <v>0</v>
      </c>
      <c r="D14" s="36">
        <f>'Expence-9'!E14</f>
        <v>0</v>
      </c>
      <c r="E14" s="36">
        <f>'Expence-10'!E14</f>
        <v>0</v>
      </c>
      <c r="F14" s="36">
        <f>'Expence-11'!E14</f>
        <v>0</v>
      </c>
      <c r="G14" s="36">
        <f>'Expence-12'!E14</f>
        <v>0</v>
      </c>
      <c r="H14" s="36">
        <f>'Expence-13'!E14</f>
        <v>0</v>
      </c>
      <c r="I14" s="36">
        <f>'Expence-14'!E14</f>
        <v>10500</v>
      </c>
      <c r="J14" s="34">
        <f t="shared" si="0"/>
        <v>10500</v>
      </c>
    </row>
    <row r="15" spans="1:15" ht="15" thickBot="1" x14ac:dyDescent="0.35">
      <c r="A15" s="26" t="s">
        <v>22</v>
      </c>
      <c r="B15" s="27" t="s">
        <v>23</v>
      </c>
      <c r="C15" s="36">
        <f>'Expence-8'!E15</f>
        <v>0</v>
      </c>
      <c r="D15" s="36">
        <f>'Expence-9'!E15</f>
        <v>0</v>
      </c>
      <c r="E15" s="36">
        <f>'Expence-10'!E15</f>
        <v>0</v>
      </c>
      <c r="F15" s="36">
        <f>'Expence-11'!E15</f>
        <v>0</v>
      </c>
      <c r="G15" s="36">
        <f>'Expence-12'!E15</f>
        <v>0</v>
      </c>
      <c r="H15" s="36">
        <f>'Expence-13'!E15</f>
        <v>0</v>
      </c>
      <c r="I15" s="36">
        <f>'Expence-14'!E15</f>
        <v>0</v>
      </c>
      <c r="J15" s="34">
        <f t="shared" si="0"/>
        <v>0</v>
      </c>
    </row>
    <row r="16" spans="1:15" ht="15" thickBot="1" x14ac:dyDescent="0.35">
      <c r="A16" s="26" t="s">
        <v>24</v>
      </c>
      <c r="B16" s="27" t="s">
        <v>25</v>
      </c>
      <c r="C16" s="36">
        <f>'Expence-8'!E16</f>
        <v>0</v>
      </c>
      <c r="D16" s="36">
        <f>'Expence-9'!E16</f>
        <v>0</v>
      </c>
      <c r="E16" s="36">
        <f>'Expence-10'!E16</f>
        <v>0</v>
      </c>
      <c r="F16" s="36">
        <f>'Expence-11'!E16</f>
        <v>0</v>
      </c>
      <c r="G16" s="36">
        <f>'Expence-12'!E16</f>
        <v>5600</v>
      </c>
      <c r="H16" s="36">
        <f>'Expence-13'!E16</f>
        <v>0</v>
      </c>
      <c r="I16" s="36">
        <f>'Expence-14'!E16</f>
        <v>0</v>
      </c>
      <c r="J16" s="34">
        <f t="shared" si="0"/>
        <v>5600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'Expence-8'!E17</f>
        <v>0</v>
      </c>
      <c r="D17" s="36">
        <f>'Expence-9'!E17</f>
        <v>0</v>
      </c>
      <c r="E17" s="36">
        <f>'Expence-10'!E17</f>
        <v>0</v>
      </c>
      <c r="F17" s="36">
        <f>'Expence-11'!E17</f>
        <v>0</v>
      </c>
      <c r="G17" s="36">
        <f>'Expence-12'!E17</f>
        <v>0</v>
      </c>
      <c r="H17" s="36">
        <f>'Expence-13'!E17</f>
        <v>0</v>
      </c>
      <c r="I17" s="36">
        <f>'Expence-14'!E17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'Expence-8'!E18</f>
        <v>0</v>
      </c>
      <c r="D18" s="36">
        <f>'Expence-9'!E18</f>
        <v>0</v>
      </c>
      <c r="E18" s="36">
        <f>'Expence-10'!E18</f>
        <v>0</v>
      </c>
      <c r="F18" s="36">
        <f>'Expence-11'!E18</f>
        <v>0</v>
      </c>
      <c r="G18" s="36">
        <f>'Expence-12'!E18</f>
        <v>2800</v>
      </c>
      <c r="H18" s="36">
        <f>'Expence-13'!E18</f>
        <v>0</v>
      </c>
      <c r="I18" s="36">
        <f>'Expence-14'!E18</f>
        <v>0</v>
      </c>
      <c r="J18" s="34">
        <f t="shared" si="0"/>
        <v>2800</v>
      </c>
    </row>
    <row r="19" spans="1:10" ht="15" thickBot="1" x14ac:dyDescent="0.35">
      <c r="A19" s="26" t="s">
        <v>30</v>
      </c>
      <c r="B19" s="27" t="s">
        <v>31</v>
      </c>
      <c r="C19" s="36">
        <f>'Expence-8'!E19</f>
        <v>0</v>
      </c>
      <c r="D19" s="36">
        <f>'Expence-9'!E19</f>
        <v>0</v>
      </c>
      <c r="E19" s="36">
        <f>'Expence-10'!E19</f>
        <v>0</v>
      </c>
      <c r="F19" s="36">
        <f>'Expence-11'!E19</f>
        <v>0</v>
      </c>
      <c r="G19" s="36">
        <f>'Expence-12'!E19</f>
        <v>3500</v>
      </c>
      <c r="H19" s="36">
        <f>'Expence-13'!E19</f>
        <v>0</v>
      </c>
      <c r="I19" s="36">
        <f>'Expence-14'!E19</f>
        <v>0</v>
      </c>
      <c r="J19" s="34">
        <f t="shared" si="0"/>
        <v>3500</v>
      </c>
    </row>
    <row r="20" spans="1:10" ht="15" thickBot="1" x14ac:dyDescent="0.35">
      <c r="A20" s="26" t="s">
        <v>32</v>
      </c>
      <c r="B20" s="27" t="s">
        <v>33</v>
      </c>
      <c r="C20" s="36">
        <f>'Expence-8'!E20</f>
        <v>0</v>
      </c>
      <c r="D20" s="36">
        <f>'Expence-9'!E20</f>
        <v>0</v>
      </c>
      <c r="E20" s="36">
        <f>'Expence-10'!E20</f>
        <v>0</v>
      </c>
      <c r="F20" s="36">
        <f>'Expence-11'!E20</f>
        <v>0</v>
      </c>
      <c r="G20" s="36">
        <f>'Expence-12'!E20</f>
        <v>0</v>
      </c>
      <c r="H20" s="36">
        <f>'Expence-13'!E20</f>
        <v>2600</v>
      </c>
      <c r="I20" s="36">
        <f>'Expence-14'!E20</f>
        <v>10400</v>
      </c>
      <c r="J20" s="34">
        <f t="shared" si="0"/>
        <v>13000</v>
      </c>
    </row>
    <row r="21" spans="1:10" ht="15" thickBot="1" x14ac:dyDescent="0.35">
      <c r="A21" s="26" t="s">
        <v>34</v>
      </c>
      <c r="B21" s="27" t="s">
        <v>35</v>
      </c>
      <c r="C21" s="36">
        <f>'Expence-8'!E21</f>
        <v>0</v>
      </c>
      <c r="D21" s="36">
        <f>'Expence-9'!E21</f>
        <v>0</v>
      </c>
      <c r="E21" s="36">
        <f>'Expence-10'!E21</f>
        <v>0</v>
      </c>
      <c r="F21" s="36">
        <f>'Expence-11'!E21</f>
        <v>0</v>
      </c>
      <c r="G21" s="36">
        <f>'Expence-12'!E21</f>
        <v>6600</v>
      </c>
      <c r="H21" s="36">
        <f>'Expence-13'!E21</f>
        <v>0</v>
      </c>
      <c r="I21" s="36">
        <f>'Expence-14'!E21</f>
        <v>0</v>
      </c>
      <c r="J21" s="34">
        <f t="shared" si="0"/>
        <v>6600</v>
      </c>
    </row>
    <row r="22" spans="1:10" ht="15" thickBot="1" x14ac:dyDescent="0.35">
      <c r="A22" s="26" t="s">
        <v>66</v>
      </c>
      <c r="B22" s="27" t="s">
        <v>91</v>
      </c>
      <c r="C22" s="36">
        <f>'Expence-8'!E22</f>
        <v>0</v>
      </c>
      <c r="D22" s="36">
        <f>'Expence-9'!E22</f>
        <v>0</v>
      </c>
      <c r="E22" s="36">
        <f>'Expence-10'!E22</f>
        <v>0</v>
      </c>
      <c r="F22" s="36">
        <f>'Expence-11'!E22</f>
        <v>0</v>
      </c>
      <c r="G22" s="36">
        <f>'Expence-12'!E22</f>
        <v>0</v>
      </c>
      <c r="H22" s="36">
        <f>'Expence-13'!E22</f>
        <v>0</v>
      </c>
      <c r="I22" s="36">
        <f>'Expence-14'!E22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'Expence-8'!E23</f>
        <v>0</v>
      </c>
      <c r="D23" s="36">
        <f>'Expence-9'!E23</f>
        <v>0</v>
      </c>
      <c r="E23" s="36">
        <f>'Expence-10'!E23</f>
        <v>0</v>
      </c>
      <c r="F23" s="36">
        <f>'Expence-11'!E23</f>
        <v>0</v>
      </c>
      <c r="G23" s="36">
        <f>'Expence-12'!E23</f>
        <v>0</v>
      </c>
      <c r="H23" s="36">
        <f>'Expence-13'!E23</f>
        <v>0</v>
      </c>
      <c r="I23" s="36">
        <f>'Expence-14'!E23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'Expence-8'!E24</f>
        <v>0</v>
      </c>
      <c r="D24" s="36">
        <f>'Expence-9'!E24</f>
        <v>0</v>
      </c>
      <c r="E24" s="36">
        <f>'Expence-10'!E24</f>
        <v>0</v>
      </c>
      <c r="F24" s="36">
        <f>'Expence-11'!E24</f>
        <v>0</v>
      </c>
      <c r="G24" s="36">
        <f>'Expence-12'!E24</f>
        <v>6000</v>
      </c>
      <c r="H24" s="36">
        <f>'Expence-13'!E24</f>
        <v>0</v>
      </c>
      <c r="I24" s="36">
        <f>'Expence-14'!E24</f>
        <v>0</v>
      </c>
      <c r="J24" s="34">
        <f t="shared" si="0"/>
        <v>6000</v>
      </c>
    </row>
    <row r="25" spans="1:10" ht="15" thickBot="1" x14ac:dyDescent="0.35">
      <c r="A25" s="26" t="s">
        <v>72</v>
      </c>
      <c r="B25" s="27" t="s">
        <v>93</v>
      </c>
      <c r="C25" s="36">
        <f>'Expence-8'!E25</f>
        <v>0</v>
      </c>
      <c r="D25" s="36">
        <f>'Expence-9'!E25</f>
        <v>0</v>
      </c>
      <c r="E25" s="36">
        <f>'Expence-10'!E25</f>
        <v>0</v>
      </c>
      <c r="F25" s="36">
        <f>'Expence-11'!E25</f>
        <v>0</v>
      </c>
      <c r="G25" s="36">
        <f>'Expence-12'!E25</f>
        <v>0</v>
      </c>
      <c r="H25" s="36">
        <f>'Expence-13'!E25</f>
        <v>0</v>
      </c>
      <c r="I25" s="36">
        <f>'Expence-14'!E25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'Expence-8'!E26</f>
        <v>0</v>
      </c>
      <c r="D26" s="36">
        <f>'Expence-9'!E26</f>
        <v>0</v>
      </c>
      <c r="E26" s="36">
        <f>'Expence-10'!E26</f>
        <v>0</v>
      </c>
      <c r="F26" s="36">
        <f>'Expence-11'!E26</f>
        <v>0</v>
      </c>
      <c r="G26" s="36">
        <f>'Expence-12'!E26</f>
        <v>0</v>
      </c>
      <c r="H26" s="36">
        <f>'Expence-13'!E26</f>
        <v>0</v>
      </c>
      <c r="I26" s="36">
        <f>'Expence-14'!E26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'Expence-8'!E27</f>
        <v>0</v>
      </c>
      <c r="D27" s="36">
        <f>'Expence-9'!E27</f>
        <v>0</v>
      </c>
      <c r="E27" s="36">
        <f>'Expence-10'!E27</f>
        <v>0</v>
      </c>
      <c r="F27" s="36">
        <f>'Expence-11'!E27</f>
        <v>0</v>
      </c>
      <c r="G27" s="36">
        <f>'Expence-12'!E27</f>
        <v>0</v>
      </c>
      <c r="H27" s="36">
        <f>'Expence-13'!E27</f>
        <v>0</v>
      </c>
      <c r="I27" s="36">
        <f>'Expence-14'!E27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'Expence-8'!E28</f>
        <v>0</v>
      </c>
      <c r="D28" s="36">
        <f>'Expence-9'!E28</f>
        <v>0</v>
      </c>
      <c r="E28" s="36">
        <f>'Expence-10'!E28</f>
        <v>0</v>
      </c>
      <c r="F28" s="36">
        <f>'Expence-11'!E28</f>
        <v>0</v>
      </c>
      <c r="G28" s="36">
        <f>'Expence-12'!E28</f>
        <v>30000</v>
      </c>
      <c r="H28" s="36">
        <f>'Expence-13'!E28</f>
        <v>6000</v>
      </c>
      <c r="I28" s="36">
        <f>'Expence-14'!E28</f>
        <v>0</v>
      </c>
      <c r="J28" s="34">
        <f t="shared" si="0"/>
        <v>36000</v>
      </c>
    </row>
    <row r="29" spans="1:10" ht="15" thickBot="1" x14ac:dyDescent="0.35">
      <c r="A29" s="26" t="s">
        <v>8</v>
      </c>
      <c r="B29" s="27" t="s">
        <v>38</v>
      </c>
      <c r="C29" s="36">
        <f>'Expence-8'!E29</f>
        <v>18500</v>
      </c>
      <c r="D29" s="36">
        <f>'Expence-9'!E29</f>
        <v>10300</v>
      </c>
      <c r="E29" s="36">
        <f>'Expence-10'!E29</f>
        <v>28000</v>
      </c>
      <c r="F29" s="36">
        <f>'Expence-11'!E29</f>
        <v>0</v>
      </c>
      <c r="G29" s="36">
        <f>'Expence-12'!E29</f>
        <v>0</v>
      </c>
      <c r="H29" s="36">
        <f>'Expence-13'!E29</f>
        <v>30000</v>
      </c>
      <c r="I29" s="36">
        <f>'Expence-14'!E29</f>
        <v>28000</v>
      </c>
      <c r="J29" s="34">
        <f t="shared" si="0"/>
        <v>114800</v>
      </c>
    </row>
    <row r="30" spans="1:10" ht="15" thickBot="1" x14ac:dyDescent="0.35">
      <c r="A30" s="26" t="s">
        <v>10</v>
      </c>
      <c r="B30" s="27" t="s">
        <v>39</v>
      </c>
      <c r="C30" s="36">
        <f>'Expence-8'!E30</f>
        <v>0</v>
      </c>
      <c r="D30" s="36">
        <f>'Expence-9'!E30</f>
        <v>0</v>
      </c>
      <c r="E30" s="36">
        <f>'Expence-10'!E30</f>
        <v>0</v>
      </c>
      <c r="F30" s="36">
        <f>'Expence-11'!E30</f>
        <v>0</v>
      </c>
      <c r="G30" s="36">
        <f>'Expence-12'!E30</f>
        <v>0</v>
      </c>
      <c r="H30" s="36">
        <f>'Expence-13'!E30</f>
        <v>0</v>
      </c>
      <c r="I30" s="36">
        <f>'Expence-14'!E30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'Expence-8'!E31</f>
        <v>0</v>
      </c>
      <c r="D31" s="36">
        <f>'Expence-9'!E31</f>
        <v>0</v>
      </c>
      <c r="E31" s="36">
        <f>'Expence-10'!E31</f>
        <v>0</v>
      </c>
      <c r="F31" s="36">
        <f>'Expence-11'!E31</f>
        <v>0</v>
      </c>
      <c r="G31" s="36">
        <f>'Expence-12'!E31</f>
        <v>0</v>
      </c>
      <c r="H31" s="36">
        <f>'Expence-13'!E31</f>
        <v>0</v>
      </c>
      <c r="I31" s="36">
        <f>'Expence-14'!E31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'Expence-8'!E32</f>
        <v>0</v>
      </c>
      <c r="D32" s="36">
        <f>'Expence-9'!E32</f>
        <v>0</v>
      </c>
      <c r="E32" s="36">
        <f>'Expence-10'!E32</f>
        <v>0</v>
      </c>
      <c r="F32" s="36">
        <f>'Expence-11'!E32</f>
        <v>4000</v>
      </c>
      <c r="G32" s="36">
        <f>'Expence-12'!E32</f>
        <v>0</v>
      </c>
      <c r="H32" s="36">
        <f>'Expence-13'!E32</f>
        <v>0</v>
      </c>
      <c r="I32" s="36">
        <f>'Expence-14'!E32</f>
        <v>14400</v>
      </c>
      <c r="J32" s="34">
        <f t="shared" si="0"/>
        <v>18400</v>
      </c>
    </row>
    <row r="33" spans="1:18" ht="15" thickBot="1" x14ac:dyDescent="0.35">
      <c r="A33" s="26" t="s">
        <v>22</v>
      </c>
      <c r="B33" s="27" t="s">
        <v>42</v>
      </c>
      <c r="C33" s="36">
        <f>'Expence-8'!E33</f>
        <v>0</v>
      </c>
      <c r="D33" s="36">
        <f>'Expence-9'!E33</f>
        <v>0</v>
      </c>
      <c r="E33" s="36">
        <f>'Expence-10'!E33</f>
        <v>0</v>
      </c>
      <c r="F33" s="36">
        <f>'Expence-11'!E33</f>
        <v>0</v>
      </c>
      <c r="G33" s="36">
        <f>'Expence-12'!E33</f>
        <v>0</v>
      </c>
      <c r="H33" s="36">
        <f>'Expence-13'!E33</f>
        <v>0</v>
      </c>
      <c r="I33" s="36">
        <f>'Expence-14'!E33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'Expence-8'!E34</f>
        <v>0</v>
      </c>
      <c r="D34" s="36">
        <f>'Expence-9'!E34</f>
        <v>0</v>
      </c>
      <c r="E34" s="36">
        <f>'Expence-10'!E34</f>
        <v>0</v>
      </c>
      <c r="F34" s="36">
        <f>'Expence-11'!E34</f>
        <v>0</v>
      </c>
      <c r="G34" s="36">
        <f>'Expence-12'!E34</f>
        <v>0</v>
      </c>
      <c r="H34" s="36">
        <f>'Expence-13'!E34</f>
        <v>0</v>
      </c>
      <c r="I34" s="36">
        <f>'Expence-14'!E34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'Expence-8'!E35</f>
        <v>0</v>
      </c>
      <c r="D35" s="36">
        <f>'Expence-9'!E35</f>
        <v>0</v>
      </c>
      <c r="E35" s="36">
        <f>'Expence-10'!E35</f>
        <v>0</v>
      </c>
      <c r="F35" s="36">
        <f>'Expence-11'!E35</f>
        <v>0</v>
      </c>
      <c r="G35" s="36">
        <f>'Expence-12'!E35</f>
        <v>0</v>
      </c>
      <c r="H35" s="36">
        <f>'Expence-13'!E35</f>
        <v>0</v>
      </c>
      <c r="I35" s="36">
        <f>'Expence-14'!E35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'Expence-8'!E36</f>
        <v>0</v>
      </c>
      <c r="D36" s="36">
        <f>'Expence-9'!E36</f>
        <v>0</v>
      </c>
      <c r="E36" s="36">
        <f>'Expence-10'!E36</f>
        <v>0</v>
      </c>
      <c r="F36" s="36">
        <f>'Expence-11'!E36</f>
        <v>0</v>
      </c>
      <c r="G36" s="36">
        <f>'Expence-12'!E36</f>
        <v>0</v>
      </c>
      <c r="H36" s="36">
        <f>'Expence-13'!E36</f>
        <v>0</v>
      </c>
      <c r="I36" s="36">
        <f>'Expence-14'!E36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'Expence-8'!E37</f>
        <v>13000</v>
      </c>
      <c r="D37" s="36">
        <f>'Expence-9'!E37</f>
        <v>0</v>
      </c>
      <c r="E37" s="36">
        <f>'Expence-10'!E37</f>
        <v>0</v>
      </c>
      <c r="F37" s="36">
        <f>'Expence-11'!E37</f>
        <v>0</v>
      </c>
      <c r="G37" s="36">
        <f>'Expence-12'!E37</f>
        <v>0</v>
      </c>
      <c r="H37" s="36">
        <f>'Expence-13'!E37</f>
        <v>0</v>
      </c>
      <c r="I37" s="36">
        <f>'Expence-14'!E37</f>
        <v>13000</v>
      </c>
      <c r="J37" s="34">
        <f t="shared" si="0"/>
        <v>26000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'Expence-8'!E38</f>
        <v>0</v>
      </c>
      <c r="D38" s="36">
        <f>'Expence-9'!E38</f>
        <v>0</v>
      </c>
      <c r="E38" s="36">
        <f>'Expence-10'!E38</f>
        <v>0</v>
      </c>
      <c r="F38" s="36">
        <f>'Expence-11'!E38</f>
        <v>0</v>
      </c>
      <c r="G38" s="36">
        <f>'Expence-12'!E38</f>
        <v>0</v>
      </c>
      <c r="H38" s="36">
        <f>'Expence-13'!E38</f>
        <v>0</v>
      </c>
      <c r="I38" s="36">
        <f>'Expence-14'!E38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'Expence-8'!E39</f>
        <v>0</v>
      </c>
      <c r="D39" s="36">
        <f>'Expence-9'!E39</f>
        <v>0</v>
      </c>
      <c r="E39" s="36">
        <f>'Expence-10'!E39</f>
        <v>0</v>
      </c>
      <c r="F39" s="36">
        <f>'Expence-11'!E39</f>
        <v>0</v>
      </c>
      <c r="G39" s="36">
        <f>'Expence-12'!E39</f>
        <v>0</v>
      </c>
      <c r="H39" s="36">
        <f>'Expence-13'!E39</f>
        <v>0</v>
      </c>
      <c r="I39" s="36">
        <f>'Expence-14'!E39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'Expence-8'!E40</f>
        <v>0</v>
      </c>
      <c r="D40" s="36">
        <f>'Expence-9'!E40</f>
        <v>0</v>
      </c>
      <c r="E40" s="36">
        <f>'Expence-10'!E40</f>
        <v>0</v>
      </c>
      <c r="F40" s="36">
        <f>'Expence-11'!E40</f>
        <v>0</v>
      </c>
      <c r="G40" s="36">
        <f>'Expence-12'!E40</f>
        <v>0</v>
      </c>
      <c r="H40" s="36">
        <f>'Expence-13'!E40</f>
        <v>0</v>
      </c>
      <c r="I40" s="36">
        <f>'Expence-14'!E40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'Expence-8'!E41</f>
        <v>0</v>
      </c>
      <c r="D41" s="36">
        <f>'Expence-9'!E41</f>
        <v>0</v>
      </c>
      <c r="E41" s="36">
        <f>'Expence-10'!E41</f>
        <v>0</v>
      </c>
      <c r="F41" s="36">
        <f>'Expence-11'!E41</f>
        <v>0</v>
      </c>
      <c r="G41" s="36">
        <f>'Expence-12'!E41</f>
        <v>0</v>
      </c>
      <c r="H41" s="36">
        <f>'Expence-13'!E41</f>
        <v>0</v>
      </c>
      <c r="I41" s="36">
        <f>'Expence-14'!E41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'Expence-8'!E42</f>
        <v>0</v>
      </c>
      <c r="D42" s="36">
        <f>'Expence-9'!E42</f>
        <v>0</v>
      </c>
      <c r="E42" s="36">
        <f>'Expence-10'!E42</f>
        <v>0</v>
      </c>
      <c r="F42" s="36">
        <f>'Expence-11'!E42</f>
        <v>0</v>
      </c>
      <c r="G42" s="36">
        <f>'Expence-12'!E42</f>
        <v>0</v>
      </c>
      <c r="H42" s="36">
        <f>'Expence-13'!E42</f>
        <v>0</v>
      </c>
      <c r="I42" s="36">
        <f>'Expence-14'!E42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'Expence-8'!E43</f>
        <v>0</v>
      </c>
      <c r="D43" s="36">
        <f>'Expence-9'!E43</f>
        <v>0</v>
      </c>
      <c r="E43" s="36">
        <f>'Expence-10'!E43</f>
        <v>0</v>
      </c>
      <c r="F43" s="36">
        <f>'Expence-11'!E43</f>
        <v>0</v>
      </c>
      <c r="G43" s="36">
        <f>'Expence-12'!E43</f>
        <v>0</v>
      </c>
      <c r="H43" s="36">
        <f>'Expence-13'!E43</f>
        <v>0</v>
      </c>
      <c r="I43" s="36">
        <f>'Expence-14'!E43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'Expence-8'!E44</f>
        <v>0</v>
      </c>
      <c r="D44" s="36">
        <f>'Expence-9'!E44</f>
        <v>0</v>
      </c>
      <c r="E44" s="36">
        <f>'Expence-10'!E44</f>
        <v>0</v>
      </c>
      <c r="F44" s="36">
        <f>'Expence-11'!E44</f>
        <v>0</v>
      </c>
      <c r="G44" s="36">
        <f>'Expence-12'!E44</f>
        <v>0</v>
      </c>
      <c r="H44" s="36">
        <f>'Expence-13'!E44</f>
        <v>0</v>
      </c>
      <c r="I44" s="36">
        <f>'Expence-14'!E44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'Expence-8'!E45</f>
        <v>0</v>
      </c>
      <c r="D45" s="36">
        <f>'Expence-9'!E45</f>
        <v>0</v>
      </c>
      <c r="E45" s="36">
        <f>'Expence-10'!E45</f>
        <v>0</v>
      </c>
      <c r="F45" s="36">
        <f>'Expence-11'!E45</f>
        <v>0</v>
      </c>
      <c r="G45" s="36">
        <f>'Expence-12'!E45</f>
        <v>0</v>
      </c>
      <c r="H45" s="36">
        <f>'Expence-13'!E45</f>
        <v>0</v>
      </c>
      <c r="I45" s="36">
        <f>'Expence-14'!E45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'Expence-8'!E46</f>
        <v>0</v>
      </c>
      <c r="D46" s="36">
        <f>'Expence-9'!E46</f>
        <v>0</v>
      </c>
      <c r="E46" s="36">
        <f>'Expence-10'!E46</f>
        <v>0</v>
      </c>
      <c r="F46" s="36">
        <f>'Expence-11'!E46</f>
        <v>0</v>
      </c>
      <c r="G46" s="36">
        <f>'Expence-12'!E46</f>
        <v>0</v>
      </c>
      <c r="H46" s="36">
        <f>'Expence-13'!E46</f>
        <v>0</v>
      </c>
      <c r="I46" s="36">
        <f>'Expence-14'!E46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'Expence-8'!E47</f>
        <v>0</v>
      </c>
      <c r="D47" s="36">
        <f>'Expence-9'!E47</f>
        <v>0</v>
      </c>
      <c r="E47" s="36">
        <f>'Expence-10'!E47</f>
        <v>0</v>
      </c>
      <c r="F47" s="36">
        <f>'Expence-11'!E47</f>
        <v>0</v>
      </c>
      <c r="G47" s="36">
        <f>'Expence-12'!E47</f>
        <v>0</v>
      </c>
      <c r="H47" s="36">
        <f>'Expence-13'!E47</f>
        <v>0</v>
      </c>
      <c r="I47" s="36">
        <f>'Expence-14'!E47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'Expence-8'!E48</f>
        <v>0</v>
      </c>
      <c r="D48" s="36">
        <f>'Expence-9'!E48</f>
        <v>0</v>
      </c>
      <c r="E48" s="36">
        <f>'Expence-10'!E48</f>
        <v>0</v>
      </c>
      <c r="F48" s="36">
        <f>'Expence-11'!E48</f>
        <v>0</v>
      </c>
      <c r="G48" s="36">
        <f>'Expence-12'!E48</f>
        <v>0</v>
      </c>
      <c r="H48" s="36">
        <f>'Expence-13'!E48</f>
        <v>0</v>
      </c>
      <c r="I48" s="36">
        <f>'Expence-14'!E48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'Expence-8'!E49</f>
        <v>0</v>
      </c>
      <c r="D49" s="36">
        <f>'Expence-9'!E49</f>
        <v>0</v>
      </c>
      <c r="E49" s="36">
        <f>'Expence-10'!E49</f>
        <v>0</v>
      </c>
      <c r="F49" s="36">
        <f>'Expence-11'!E49</f>
        <v>0</v>
      </c>
      <c r="G49" s="36">
        <f>'Expence-12'!E49</f>
        <v>0</v>
      </c>
      <c r="H49" s="36">
        <f>'Expence-13'!E49</f>
        <v>0</v>
      </c>
      <c r="I49" s="36">
        <f>'Expence-14'!E49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'Expence-8'!E50</f>
        <v>0</v>
      </c>
      <c r="D50" s="36">
        <f>'Expence-9'!E50</f>
        <v>0</v>
      </c>
      <c r="E50" s="36">
        <f>'Expence-10'!E50</f>
        <v>0</v>
      </c>
      <c r="F50" s="36">
        <f>'Expence-11'!E50</f>
        <v>0</v>
      </c>
      <c r="G50" s="36">
        <f>'Expence-12'!E50</f>
        <v>0</v>
      </c>
      <c r="H50" s="36">
        <f>'Expence-13'!E50</f>
        <v>0</v>
      </c>
      <c r="I50" s="36">
        <f>'Expence-14'!E50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'Expence-8'!E51</f>
        <v>0</v>
      </c>
      <c r="D51" s="36">
        <f>'Expence-9'!E51</f>
        <v>0</v>
      </c>
      <c r="E51" s="36">
        <f>'Expence-10'!E51</f>
        <v>0</v>
      </c>
      <c r="F51" s="36">
        <f>'Expence-11'!E51</f>
        <v>0</v>
      </c>
      <c r="G51" s="36">
        <f>'Expence-12'!E51</f>
        <v>0</v>
      </c>
      <c r="H51" s="36">
        <f>'Expence-13'!E51</f>
        <v>0</v>
      </c>
      <c r="I51" s="36">
        <f>'Expence-14'!E51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'Expence-8'!E52</f>
        <v>2500</v>
      </c>
      <c r="D52" s="36">
        <f>'Expence-9'!E52</f>
        <v>5500</v>
      </c>
      <c r="E52" s="36">
        <f>'Expence-10'!E52</f>
        <v>5500</v>
      </c>
      <c r="F52" s="36">
        <f>'Expence-11'!E52</f>
        <v>8500</v>
      </c>
      <c r="G52" s="36">
        <f>'Expence-12'!E52</f>
        <v>2500</v>
      </c>
      <c r="H52" s="36">
        <f>'Expence-13'!E52</f>
        <v>0</v>
      </c>
      <c r="I52" s="36">
        <f>'Expence-14'!E52</f>
        <v>5500</v>
      </c>
      <c r="J52" s="34">
        <f t="shared" si="0"/>
        <v>30000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'Expence-8'!E53</f>
        <v>0</v>
      </c>
      <c r="D53" s="36">
        <f>'Expence-9'!E53</f>
        <v>1000</v>
      </c>
      <c r="E53" s="36">
        <f>'Expence-10'!E53</f>
        <v>0</v>
      </c>
      <c r="F53" s="36">
        <f>'Expence-11'!E53</f>
        <v>0</v>
      </c>
      <c r="G53" s="36">
        <f>'Expence-12'!E53</f>
        <v>0</v>
      </c>
      <c r="H53" s="36">
        <f>'Expence-13'!E53</f>
        <v>0</v>
      </c>
      <c r="I53" s="36">
        <f>'Expence-14'!E53</f>
        <v>1875</v>
      </c>
      <c r="J53" s="34">
        <f t="shared" si="0"/>
        <v>2875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'Expence-8'!E54</f>
        <v>0</v>
      </c>
      <c r="D54" s="36">
        <f>'Expence-9'!E54</f>
        <v>3750</v>
      </c>
      <c r="E54" s="36">
        <f>'Expence-10'!E54</f>
        <v>0</v>
      </c>
      <c r="F54" s="36">
        <f>'Expence-11'!E54</f>
        <v>0</v>
      </c>
      <c r="G54" s="36">
        <f>'Expence-12'!E54</f>
        <v>0</v>
      </c>
      <c r="H54" s="36">
        <f>'Expence-13'!E54</f>
        <v>0</v>
      </c>
      <c r="I54" s="36">
        <f>'Expence-14'!E54</f>
        <v>0</v>
      </c>
      <c r="J54" s="34">
        <f t="shared" si="0"/>
        <v>3750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'Expence-8'!E55</f>
        <v>0</v>
      </c>
      <c r="D55" s="36">
        <f>'Expence-9'!E55</f>
        <v>0</v>
      </c>
      <c r="E55" s="36">
        <f>'Expence-10'!E55</f>
        <v>0</v>
      </c>
      <c r="F55" s="36">
        <f>'Expence-11'!E55</f>
        <v>0</v>
      </c>
      <c r="G55" s="36">
        <f>'Expence-12'!E55</f>
        <v>0</v>
      </c>
      <c r="H55" s="36">
        <f>'Expence-13'!E55</f>
        <v>0</v>
      </c>
      <c r="I55" s="36">
        <f>'Expence-14'!E55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'Expence-8'!E56</f>
        <v>0</v>
      </c>
      <c r="D56" s="36">
        <f>'Expence-9'!E56</f>
        <v>3000</v>
      </c>
      <c r="E56" s="36">
        <f>'Expence-10'!E56</f>
        <v>0</v>
      </c>
      <c r="F56" s="36">
        <f>'Expence-11'!E56</f>
        <v>0</v>
      </c>
      <c r="G56" s="36">
        <f>'Expence-12'!E56</f>
        <v>0</v>
      </c>
      <c r="H56" s="36">
        <f>'Expence-13'!E56</f>
        <v>0</v>
      </c>
      <c r="I56" s="36">
        <f>'Expence-14'!E56</f>
        <v>0</v>
      </c>
      <c r="J56" s="34">
        <f t="shared" si="0"/>
        <v>3000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'Expence-8'!E57</f>
        <v>0</v>
      </c>
      <c r="D57" s="36">
        <f>'Expence-9'!E57</f>
        <v>2500</v>
      </c>
      <c r="E57" s="36">
        <f>'Expence-10'!E57</f>
        <v>0</v>
      </c>
      <c r="F57" s="36">
        <f>'Expence-11'!E57</f>
        <v>0</v>
      </c>
      <c r="G57" s="36">
        <f>'Expence-12'!E57</f>
        <v>0</v>
      </c>
      <c r="H57" s="36">
        <f>'Expence-13'!E57</f>
        <v>0</v>
      </c>
      <c r="I57" s="36">
        <f>'Expence-14'!E57</f>
        <v>0</v>
      </c>
      <c r="J57" s="34">
        <f t="shared" si="0"/>
        <v>2500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'Expence-8'!E58</f>
        <v>0</v>
      </c>
      <c r="D58" s="36">
        <f>'Expence-9'!E58</f>
        <v>0</v>
      </c>
      <c r="E58" s="36">
        <f>'Expence-10'!E58</f>
        <v>0</v>
      </c>
      <c r="F58" s="36">
        <f>'Expence-11'!E58</f>
        <v>0</v>
      </c>
      <c r="G58" s="36">
        <f>'Expence-12'!E58</f>
        <v>0</v>
      </c>
      <c r="H58" s="36">
        <f>'Expence-13'!E58</f>
        <v>0</v>
      </c>
      <c r="I58" s="36">
        <f>'Expence-14'!E58</f>
        <v>25000</v>
      </c>
      <c r="J58" s="34">
        <f t="shared" si="0"/>
        <v>25000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'Expence-8'!E59</f>
        <v>0</v>
      </c>
      <c r="D59" s="36">
        <f>'Expence-9'!E59</f>
        <v>4400</v>
      </c>
      <c r="E59" s="36">
        <f>'Expence-10'!E59</f>
        <v>0</v>
      </c>
      <c r="F59" s="36">
        <f>'Expence-11'!E59</f>
        <v>0</v>
      </c>
      <c r="G59" s="36">
        <f>'Expence-12'!E59</f>
        <v>0</v>
      </c>
      <c r="H59" s="36">
        <f>'Expence-13'!E59</f>
        <v>0</v>
      </c>
      <c r="I59" s="36">
        <f>'Expence-14'!E59</f>
        <v>0</v>
      </c>
      <c r="J59" s="34">
        <f t="shared" si="0"/>
        <v>4400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'Expence-8'!E60</f>
        <v>0</v>
      </c>
      <c r="D60" s="36">
        <f>'Expence-9'!E60</f>
        <v>0</v>
      </c>
      <c r="E60" s="36">
        <f>'Expence-10'!E60</f>
        <v>0</v>
      </c>
      <c r="F60" s="36">
        <f>'Expence-11'!E60</f>
        <v>0</v>
      </c>
      <c r="G60" s="36">
        <f>'Expence-12'!E60</f>
        <v>0</v>
      </c>
      <c r="H60" s="36">
        <f>'Expence-13'!E60</f>
        <v>0</v>
      </c>
      <c r="I60" s="36">
        <f>'Expence-14'!E60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'Expence-8'!E61</f>
        <v>0</v>
      </c>
      <c r="D61" s="36">
        <f>'Expence-9'!E61</f>
        <v>8800</v>
      </c>
      <c r="E61" s="36">
        <f>'Expence-10'!E61</f>
        <v>0</v>
      </c>
      <c r="F61" s="36">
        <f>'Expence-11'!E61</f>
        <v>0</v>
      </c>
      <c r="G61" s="36">
        <f>'Expence-12'!E61</f>
        <v>0</v>
      </c>
      <c r="H61" s="36">
        <f>'Expence-13'!E61</f>
        <v>0</v>
      </c>
      <c r="I61" s="36">
        <f>'Expence-14'!E61</f>
        <v>8400</v>
      </c>
      <c r="J61" s="34">
        <f t="shared" si="0"/>
        <v>17200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'Expence-8'!E62</f>
        <v>0</v>
      </c>
      <c r="D62" s="36">
        <f>'Expence-9'!E62</f>
        <v>0</v>
      </c>
      <c r="E62" s="36">
        <f>'Expence-10'!E62</f>
        <v>0</v>
      </c>
      <c r="F62" s="36">
        <f>'Expence-11'!E62</f>
        <v>0</v>
      </c>
      <c r="G62" s="36">
        <f>'Expence-12'!E62</f>
        <v>0</v>
      </c>
      <c r="H62" s="36">
        <f>'Expence-13'!E62</f>
        <v>0</v>
      </c>
      <c r="I62" s="36">
        <f>'Expence-14'!E62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'Expence-8'!E63</f>
        <v>0</v>
      </c>
      <c r="D63" s="36">
        <f>'Expence-9'!E63</f>
        <v>680</v>
      </c>
      <c r="E63" s="36">
        <f>'Expence-10'!E63</f>
        <v>0</v>
      </c>
      <c r="F63" s="36">
        <f>'Expence-11'!E63</f>
        <v>0</v>
      </c>
      <c r="G63" s="36">
        <f>'Expence-12'!E63</f>
        <v>0</v>
      </c>
      <c r="H63" s="36">
        <f>'Expence-13'!E63</f>
        <v>0</v>
      </c>
      <c r="I63" s="36">
        <f>'Expence-14'!E63</f>
        <v>0</v>
      </c>
      <c r="J63" s="34">
        <f t="shared" si="0"/>
        <v>680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'Expence-8'!E64</f>
        <v>0</v>
      </c>
      <c r="D64" s="36">
        <f>'Expence-9'!E64</f>
        <v>4250</v>
      </c>
      <c r="E64" s="36">
        <f>'Expence-10'!E64</f>
        <v>0</v>
      </c>
      <c r="F64" s="36">
        <f>'Expence-11'!E64</f>
        <v>0</v>
      </c>
      <c r="G64" s="36">
        <f>'Expence-12'!E64</f>
        <v>0</v>
      </c>
      <c r="H64" s="36">
        <f>'Expence-13'!E64</f>
        <v>0</v>
      </c>
      <c r="I64" s="36">
        <f>'Expence-14'!E64</f>
        <v>0</v>
      </c>
      <c r="J64" s="34">
        <f t="shared" si="0"/>
        <v>4250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'Expence-8'!E65</f>
        <v>0</v>
      </c>
      <c r="D65" s="36">
        <f>'Expence-9'!E65</f>
        <v>0</v>
      </c>
      <c r="E65" s="36">
        <f>'Expence-10'!E65</f>
        <v>0</v>
      </c>
      <c r="F65" s="36">
        <f>'Expence-11'!E65</f>
        <v>0</v>
      </c>
      <c r="G65" s="36">
        <f>'Expence-12'!E65</f>
        <v>0</v>
      </c>
      <c r="H65" s="36">
        <f>'Expence-13'!E65</f>
        <v>0</v>
      </c>
      <c r="I65" s="36">
        <f>'Expence-14'!E65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'Expence-8'!E66</f>
        <v>0</v>
      </c>
      <c r="D66" s="36">
        <f>'Expence-9'!E66</f>
        <v>0</v>
      </c>
      <c r="E66" s="36">
        <f>'Expence-10'!E66</f>
        <v>0</v>
      </c>
      <c r="F66" s="36">
        <f>'Expence-11'!E66</f>
        <v>0</v>
      </c>
      <c r="G66" s="36">
        <f>'Expence-12'!E66</f>
        <v>0</v>
      </c>
      <c r="H66" s="36">
        <f>'Expence-13'!E66</f>
        <v>0</v>
      </c>
      <c r="I66" s="36">
        <f>'Expence-14'!E66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'Expence-8'!E67</f>
        <v>0</v>
      </c>
      <c r="D67" s="36">
        <f>'Expence-9'!E67</f>
        <v>1000</v>
      </c>
      <c r="E67" s="36">
        <f>'Expence-10'!E67</f>
        <v>0</v>
      </c>
      <c r="F67" s="36">
        <f>'Expence-11'!E67</f>
        <v>0</v>
      </c>
      <c r="G67" s="36">
        <f>'Expence-12'!E67</f>
        <v>0</v>
      </c>
      <c r="H67" s="36">
        <f>'Expence-13'!E67</f>
        <v>0</v>
      </c>
      <c r="I67" s="36">
        <f>'Expence-14'!E67</f>
        <v>0</v>
      </c>
      <c r="J67" s="34">
        <f t="shared" si="0"/>
        <v>1000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'Expence-8'!E68</f>
        <v>0</v>
      </c>
      <c r="D68" s="36">
        <f>'Expence-9'!E68</f>
        <v>0</v>
      </c>
      <c r="E68" s="36">
        <f>'Expence-10'!E68</f>
        <v>0</v>
      </c>
      <c r="F68" s="36">
        <f>'Expence-11'!E68</f>
        <v>0</v>
      </c>
      <c r="G68" s="36">
        <f>'Expence-12'!E68</f>
        <v>0</v>
      </c>
      <c r="H68" s="36">
        <f>'Expence-13'!E68</f>
        <v>0</v>
      </c>
      <c r="I68" s="36">
        <f>'Expence-14'!E68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'Expence-8'!E69</f>
        <v>0</v>
      </c>
      <c r="D69" s="36">
        <f>'Expence-9'!E69</f>
        <v>0</v>
      </c>
      <c r="E69" s="36">
        <f>'Expence-10'!E69</f>
        <v>0</v>
      </c>
      <c r="F69" s="36">
        <f>'Expence-11'!E69</f>
        <v>0</v>
      </c>
      <c r="G69" s="36">
        <f>'Expence-12'!E69</f>
        <v>0</v>
      </c>
      <c r="H69" s="36">
        <f>'Expence-13'!E69</f>
        <v>0</v>
      </c>
      <c r="I69" s="36">
        <f>'Expence-14'!E69</f>
        <v>0</v>
      </c>
      <c r="J69" s="34">
        <f t="shared" si="1"/>
        <v>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'Expence-8'!E70</f>
        <v>0</v>
      </c>
      <c r="D70" s="36">
        <f>'Expence-9'!E70</f>
        <v>0</v>
      </c>
      <c r="E70" s="36">
        <f>'Expence-10'!E70</f>
        <v>0</v>
      </c>
      <c r="F70" s="36">
        <f>'Expence-11'!E70</f>
        <v>0</v>
      </c>
      <c r="G70" s="36">
        <f>'Expence-12'!E70</f>
        <v>0</v>
      </c>
      <c r="H70" s="36">
        <f>'Expence-13'!E70</f>
        <v>0</v>
      </c>
      <c r="I70" s="36">
        <f>'Expence-14'!E70</f>
        <v>1875</v>
      </c>
      <c r="J70" s="34">
        <f t="shared" si="1"/>
        <v>1875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'Expence-8'!E71</f>
        <v>0</v>
      </c>
      <c r="D71" s="36">
        <f>'Expence-9'!E71</f>
        <v>2400</v>
      </c>
      <c r="E71" s="36">
        <f>'Expence-10'!E71</f>
        <v>0</v>
      </c>
      <c r="F71" s="36">
        <f>'Expence-11'!E71</f>
        <v>0</v>
      </c>
      <c r="G71" s="36">
        <f>'Expence-12'!E71</f>
        <v>0</v>
      </c>
      <c r="H71" s="36">
        <f>'Expence-13'!E71</f>
        <v>0</v>
      </c>
      <c r="I71" s="36">
        <f>'Expence-14'!E71</f>
        <v>0</v>
      </c>
      <c r="J71" s="34">
        <f t="shared" si="1"/>
        <v>2400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'Expence-8'!E72</f>
        <v>0</v>
      </c>
      <c r="D72" s="36">
        <f>'Expence-9'!E72</f>
        <v>0</v>
      </c>
      <c r="E72" s="36">
        <f>'Expence-10'!E72</f>
        <v>0</v>
      </c>
      <c r="F72" s="36">
        <f>'Expence-11'!E72</f>
        <v>0</v>
      </c>
      <c r="G72" s="36">
        <f>'Expence-12'!E72</f>
        <v>0</v>
      </c>
      <c r="H72" s="36">
        <f>'Expence-13'!E72</f>
        <v>0</v>
      </c>
      <c r="I72" s="36">
        <f>'Expence-14'!E72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'Expence-8'!E73</f>
        <v>0</v>
      </c>
      <c r="D73" s="36">
        <f>'Expence-9'!E73</f>
        <v>1200</v>
      </c>
      <c r="E73" s="36">
        <f>'Expence-10'!E73</f>
        <v>0</v>
      </c>
      <c r="F73" s="36">
        <f>'Expence-11'!E73</f>
        <v>0</v>
      </c>
      <c r="G73" s="36">
        <f>'Expence-12'!E73</f>
        <v>0</v>
      </c>
      <c r="H73" s="36">
        <f>'Expence-13'!E73</f>
        <v>0</v>
      </c>
      <c r="I73" s="36">
        <f>'Expence-14'!E74</f>
        <v>0</v>
      </c>
      <c r="J73" s="34">
        <f t="shared" si="1"/>
        <v>1200</v>
      </c>
      <c r="R73"/>
    </row>
    <row r="74" spans="1:18" ht="15" thickBot="1" x14ac:dyDescent="0.35">
      <c r="A74" s="31">
        <v>7</v>
      </c>
      <c r="B74" s="22" t="s">
        <v>76</v>
      </c>
      <c r="C74" s="36">
        <f>'Expence-8'!E74</f>
        <v>0</v>
      </c>
      <c r="D74" s="36">
        <f>'Expence-9'!E75</f>
        <v>0</v>
      </c>
      <c r="E74" s="36">
        <f>'Expence-10'!E74</f>
        <v>0</v>
      </c>
      <c r="F74" s="36">
        <f>'Expence-11'!E74</f>
        <v>0</v>
      </c>
      <c r="G74" s="36">
        <f>'Expence-12'!E74</f>
        <v>0</v>
      </c>
      <c r="H74" s="36">
        <f>'Expence-13'!E74</f>
        <v>0</v>
      </c>
      <c r="I74" s="36">
        <f>'Expence-14'!E75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'Expence-8'!E75</f>
        <v>0</v>
      </c>
      <c r="D75" s="36">
        <f>'Expence-9'!E76</f>
        <v>0</v>
      </c>
      <c r="E75" s="36">
        <f>'Expence-10'!E75</f>
        <v>0</v>
      </c>
      <c r="F75" s="36">
        <f>'Expence-11'!E75</f>
        <v>0</v>
      </c>
      <c r="G75" s="36">
        <f>'Expence-12'!E75</f>
        <v>0</v>
      </c>
      <c r="H75" s="36">
        <f>'Expence-13'!E75</f>
        <v>0</v>
      </c>
      <c r="I75" s="36">
        <f>'Expence-14'!E76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'Expence-8'!E76</f>
        <v>0</v>
      </c>
      <c r="D76" s="36">
        <f>'Expence-9'!E77</f>
        <v>0</v>
      </c>
      <c r="E76" s="36">
        <f>'Expence-10'!E76</f>
        <v>0</v>
      </c>
      <c r="F76" s="36">
        <f>'Expence-11'!E76</f>
        <v>0</v>
      </c>
      <c r="G76" s="36">
        <f>'Expence-12'!E76</f>
        <v>0</v>
      </c>
      <c r="H76" s="36">
        <f>'Expence-13'!E76</f>
        <v>0</v>
      </c>
      <c r="I76" s="36">
        <f>'Expence-14'!E77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'Expence-8'!E77</f>
        <v>0</v>
      </c>
      <c r="D77" s="36">
        <f>'Expence-9'!E78</f>
        <v>0</v>
      </c>
      <c r="E77" s="36">
        <f>'Expence-10'!E77</f>
        <v>0</v>
      </c>
      <c r="F77" s="36">
        <f>'Expence-11'!E77</f>
        <v>0</v>
      </c>
      <c r="G77" s="36">
        <f>'Expence-12'!E77</f>
        <v>0</v>
      </c>
      <c r="H77" s="36">
        <f>'Expence-13'!E77</f>
        <v>0</v>
      </c>
      <c r="I77" s="36">
        <f>'Expence-14'!E78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'Expence-8'!E78</f>
        <v>0</v>
      </c>
      <c r="D78" s="36">
        <f>'Expence-9'!E79</f>
        <v>0</v>
      </c>
      <c r="E78" s="36">
        <f>'Expence-10'!E78</f>
        <v>0</v>
      </c>
      <c r="F78" s="36">
        <f>'Expence-11'!E78</f>
        <v>0</v>
      </c>
      <c r="G78" s="36">
        <f>'Expence-12'!E78</f>
        <v>0</v>
      </c>
      <c r="H78" s="36">
        <f>'Expence-13'!E78</f>
        <v>0</v>
      </c>
      <c r="I78" s="36">
        <f>'Expence-14'!E79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'Expence-8'!E79</f>
        <v>0</v>
      </c>
      <c r="D79" s="36">
        <f>'Expence-9'!E80</f>
        <v>0</v>
      </c>
      <c r="E79" s="36">
        <f>'Expence-10'!E79</f>
        <v>0</v>
      </c>
      <c r="F79" s="36">
        <f>'Expence-11'!E79</f>
        <v>0</v>
      </c>
      <c r="G79" s="36">
        <f>'Expence-12'!E79</f>
        <v>0</v>
      </c>
      <c r="H79" s="36">
        <f>'Expence-13'!E79</f>
        <v>0</v>
      </c>
      <c r="I79" s="36">
        <f>'Expence-14'!E80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34000</v>
      </c>
      <c r="D83" s="41">
        <f t="shared" ref="D83:I83" si="2">SUM(D3:D82)</f>
        <v>48780</v>
      </c>
      <c r="E83" s="41">
        <f t="shared" si="2"/>
        <v>33500</v>
      </c>
      <c r="F83" s="41">
        <f t="shared" si="2"/>
        <v>12500</v>
      </c>
      <c r="G83" s="41">
        <f t="shared" si="2"/>
        <v>98300</v>
      </c>
      <c r="H83" s="41">
        <f t="shared" si="2"/>
        <v>38600</v>
      </c>
      <c r="I83" s="41">
        <f t="shared" si="2"/>
        <v>118950</v>
      </c>
      <c r="J83" s="34">
        <f t="shared" si="1"/>
        <v>384630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90"/>
  <sheetViews>
    <sheetView topLeftCell="A12" workbookViewId="0">
      <selection activeCell="I94" sqref="I9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18500</v>
      </c>
      <c r="D29">
        <v>1</v>
      </c>
      <c r="E29" s="13">
        <f t="shared" si="0"/>
        <v>18500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5000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13000</v>
      </c>
      <c r="D37">
        <v>1</v>
      </c>
      <c r="E37" s="13">
        <f t="shared" si="0"/>
        <v>13000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0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J73" s="51"/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K74" s="51"/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H76" s="43"/>
      <c r="K76" s="51"/>
      <c r="M76"/>
    </row>
    <row r="77" spans="1:13" x14ac:dyDescent="0.3">
      <c r="A77" s="11"/>
      <c r="B77" s="14"/>
      <c r="C77" s="12"/>
      <c r="D77"/>
      <c r="H77" s="43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1">D78*C78</f>
        <v>0</v>
      </c>
      <c r="H78" s="43"/>
      <c r="K78" s="51"/>
      <c r="M78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H79" s="43"/>
      <c r="M79"/>
    </row>
    <row r="80" spans="1:13" x14ac:dyDescent="0.3">
      <c r="A80" s="47" t="s">
        <v>8</v>
      </c>
      <c r="B80" s="14" t="s">
        <v>100</v>
      </c>
      <c r="C80">
        <v>1400</v>
      </c>
      <c r="D80" s="12">
        <v>1</v>
      </c>
      <c r="E80" s="13">
        <f t="shared" si="1"/>
        <v>1400</v>
      </c>
      <c r="H80" s="43"/>
      <c r="K80" s="51"/>
      <c r="M80"/>
    </row>
    <row r="81" spans="1:13" x14ac:dyDescent="0.3">
      <c r="A81" s="47" t="s">
        <v>10</v>
      </c>
      <c r="B81" s="14" t="s">
        <v>101</v>
      </c>
      <c r="C81">
        <v>1100</v>
      </c>
      <c r="D81" s="12">
        <v>1</v>
      </c>
      <c r="E81" s="13">
        <f t="shared" si="1"/>
        <v>1100</v>
      </c>
      <c r="H81" s="43"/>
      <c r="K81" s="51"/>
      <c r="M81"/>
    </row>
    <row r="82" spans="1:13" x14ac:dyDescent="0.3">
      <c r="A82" s="47" t="s">
        <v>12</v>
      </c>
      <c r="B82" s="14" t="s">
        <v>102</v>
      </c>
      <c r="C82">
        <v>700</v>
      </c>
      <c r="D82" s="12">
        <v>1</v>
      </c>
      <c r="E82" s="13">
        <f t="shared" si="1"/>
        <v>700</v>
      </c>
      <c r="H82" s="43"/>
      <c r="K82" s="51"/>
      <c r="M82"/>
    </row>
    <row r="83" spans="1:13" x14ac:dyDescent="0.3">
      <c r="A83" s="47" t="s">
        <v>14</v>
      </c>
      <c r="B83" s="14" t="s">
        <v>103</v>
      </c>
      <c r="C83">
        <v>13230</v>
      </c>
      <c r="D83" s="12">
        <v>1</v>
      </c>
      <c r="E83" s="13">
        <f t="shared" si="1"/>
        <v>13230</v>
      </c>
      <c r="H83" s="43"/>
      <c r="K83" s="51"/>
      <c r="M83"/>
    </row>
    <row r="84" spans="1:13" x14ac:dyDescent="0.3">
      <c r="A84" s="47" t="s">
        <v>22</v>
      </c>
      <c r="B84" s="14" t="s">
        <v>104</v>
      </c>
      <c r="C84">
        <v>7000</v>
      </c>
      <c r="D84" s="12">
        <v>1</v>
      </c>
      <c r="E84" s="13">
        <f t="shared" si="1"/>
        <v>7000</v>
      </c>
      <c r="H84" s="43"/>
      <c r="K84" s="51"/>
      <c r="M84"/>
    </row>
    <row r="85" spans="1:13" x14ac:dyDescent="0.3">
      <c r="A85" s="47"/>
      <c r="E85" s="13">
        <f t="shared" si="1"/>
        <v>0</v>
      </c>
      <c r="H85" s="43"/>
      <c r="M85"/>
    </row>
    <row r="86" spans="1:13" x14ac:dyDescent="0.3">
      <c r="B86" t="s">
        <v>80</v>
      </c>
      <c r="E86" s="13">
        <f>SUM(E2:E85)</f>
        <v>57430</v>
      </c>
      <c r="H86" s="43"/>
      <c r="K86" s="51"/>
    </row>
    <row r="87" spans="1:13" x14ac:dyDescent="0.3">
      <c r="H87" s="43"/>
      <c r="M87"/>
    </row>
    <row r="88" spans="1:13" x14ac:dyDescent="0.3">
      <c r="H88" s="43"/>
      <c r="K88" s="51"/>
    </row>
    <row r="89" spans="1:13" x14ac:dyDescent="0.3">
      <c r="H89" s="43"/>
    </row>
    <row r="90" spans="1:13" x14ac:dyDescent="0.3">
      <c r="H90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8"/>
  <sheetViews>
    <sheetView topLeftCell="A14" zoomScale="99" workbookViewId="0">
      <selection activeCell="B83" sqref="B8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5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v>300</v>
      </c>
      <c r="D16" s="28"/>
      <c r="E16" s="39">
        <f t="shared" si="0"/>
        <v>0</v>
      </c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300</v>
      </c>
      <c r="D18" s="28"/>
      <c r="E18" s="39">
        <f t="shared" si="0"/>
        <v>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/>
      <c r="E20" s="39">
        <f t="shared" si="0"/>
        <v>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27" t="s">
        <v>37</v>
      </c>
      <c r="C28" s="28">
        <v>100</v>
      </c>
      <c r="D28" s="28"/>
      <c r="E28" s="39">
        <f t="shared" si="0"/>
        <v>0</v>
      </c>
    </row>
    <row r="29" spans="1:5" ht="15" thickBot="1" x14ac:dyDescent="0.35">
      <c r="A29" s="26" t="s">
        <v>8</v>
      </c>
      <c r="B29" s="27" t="s">
        <v>38</v>
      </c>
      <c r="C29" s="28">
        <v>10300</v>
      </c>
      <c r="D29" s="28">
        <v>1</v>
      </c>
      <c r="E29" s="39">
        <f t="shared" si="0"/>
        <v>10300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5" ht="15" thickBot="1" x14ac:dyDescent="0.35">
      <c r="A33" s="26" t="s">
        <v>22</v>
      </c>
      <c r="B33" s="27" t="s">
        <v>42</v>
      </c>
      <c r="C33" s="28">
        <v>500</v>
      </c>
      <c r="D33" s="27"/>
      <c r="E33" s="39">
        <f t="shared" si="0"/>
        <v>0</v>
      </c>
    </row>
    <row r="34" spans="1:5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5" ht="15" thickBot="1" x14ac:dyDescent="0.35">
      <c r="A35" s="42" t="s">
        <v>26</v>
      </c>
      <c r="B35" s="43" t="s">
        <v>43</v>
      </c>
      <c r="C35" s="44">
        <v>2000</v>
      </c>
      <c r="D35" s="45"/>
      <c r="E35" s="39">
        <f t="shared" si="0"/>
        <v>0</v>
      </c>
    </row>
    <row r="36" spans="1:5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5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5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5" ht="15" thickBot="1" x14ac:dyDescent="0.35">
      <c r="A39" s="27"/>
      <c r="B39" s="27"/>
      <c r="C39" s="27"/>
      <c r="D39" s="27"/>
      <c r="E39" s="39">
        <f t="shared" si="0"/>
        <v>0</v>
      </c>
    </row>
    <row r="40" spans="1:5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5" ht="15" thickBot="1" x14ac:dyDescent="0.35">
      <c r="A41" s="26" t="s">
        <v>6</v>
      </c>
      <c r="B41" s="27" t="s">
        <v>45</v>
      </c>
      <c r="C41" s="30">
        <v>700</v>
      </c>
      <c r="D41" s="28"/>
      <c r="E41" s="39">
        <f t="shared" si="0"/>
        <v>0</v>
      </c>
    </row>
    <row r="42" spans="1:5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5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5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5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5" ht="15" thickBot="1" x14ac:dyDescent="0.35">
      <c r="A46" s="27"/>
      <c r="B46" s="27"/>
      <c r="C46" s="27"/>
      <c r="D46" s="27"/>
      <c r="E46" s="39">
        <f t="shared" si="0"/>
        <v>0</v>
      </c>
    </row>
    <row r="47" spans="1:5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5" ht="15" thickBot="1" x14ac:dyDescent="0.35">
      <c r="A48" s="26" t="s">
        <v>6</v>
      </c>
      <c r="B48" s="46" t="s">
        <v>51</v>
      </c>
      <c r="C48" s="28">
        <v>100</v>
      </c>
      <c r="D48" s="28"/>
      <c r="E48" s="39">
        <f t="shared" si="0"/>
        <v>0</v>
      </c>
    </row>
    <row r="49" spans="1:11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11" ht="15" thickBot="1" x14ac:dyDescent="0.35">
      <c r="A50" s="29"/>
      <c r="B50" s="27"/>
      <c r="C50" s="27"/>
      <c r="D50" s="27"/>
      <c r="E50" s="39">
        <f t="shared" si="0"/>
        <v>0</v>
      </c>
    </row>
    <row r="51" spans="1:11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11" ht="15" thickBot="1" x14ac:dyDescent="0.35">
      <c r="A52" s="26" t="s">
        <v>6</v>
      </c>
      <c r="B52" s="27" t="s">
        <v>54</v>
      </c>
      <c r="C52" s="30">
        <v>5500</v>
      </c>
      <c r="D52" s="28">
        <v>1</v>
      </c>
      <c r="E52" s="39">
        <f t="shared" si="0"/>
        <v>5500</v>
      </c>
    </row>
    <row r="53" spans="1:11" ht="15" thickBot="1" x14ac:dyDescent="0.35">
      <c r="A53" s="26" t="s">
        <v>8</v>
      </c>
      <c r="B53" s="27" t="s">
        <v>55</v>
      </c>
      <c r="C53" s="28">
        <f>1000/4</f>
        <v>250</v>
      </c>
      <c r="D53" s="27">
        <v>4</v>
      </c>
      <c r="E53" s="39">
        <f t="shared" si="0"/>
        <v>1000</v>
      </c>
    </row>
    <row r="54" spans="1:11" ht="15" thickBot="1" x14ac:dyDescent="0.35">
      <c r="A54" s="26" t="s">
        <v>10</v>
      </c>
      <c r="B54" s="27" t="s">
        <v>56</v>
      </c>
      <c r="C54" s="28">
        <f>3750/12</f>
        <v>312.5</v>
      </c>
      <c r="D54" s="27">
        <v>12</v>
      </c>
      <c r="E54" s="39">
        <f t="shared" si="0"/>
        <v>3750</v>
      </c>
    </row>
    <row r="55" spans="1:11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  <c r="J55" s="51"/>
    </row>
    <row r="56" spans="1:11" ht="15" thickBot="1" x14ac:dyDescent="0.35">
      <c r="A56" s="26" t="s">
        <v>14</v>
      </c>
      <c r="B56" s="27" t="s">
        <v>58</v>
      </c>
      <c r="C56" s="28">
        <f>3000/12</f>
        <v>250</v>
      </c>
      <c r="D56" s="27">
        <v>12</v>
      </c>
      <c r="E56" s="39">
        <f t="shared" si="0"/>
        <v>3000</v>
      </c>
      <c r="K56" s="51"/>
    </row>
    <row r="57" spans="1:11" ht="15" thickBot="1" x14ac:dyDescent="0.35">
      <c r="A57" s="26" t="s">
        <v>22</v>
      </c>
      <c r="B57" s="27" t="s">
        <v>59</v>
      </c>
      <c r="C57" s="28">
        <v>250</v>
      </c>
      <c r="D57" s="27">
        <v>10</v>
      </c>
      <c r="E57" s="39">
        <f t="shared" si="0"/>
        <v>2500</v>
      </c>
    </row>
    <row r="58" spans="1:11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  <c r="H58" s="43"/>
      <c r="K58" s="51"/>
    </row>
    <row r="59" spans="1:11" ht="15" thickBot="1" x14ac:dyDescent="0.35">
      <c r="A59" s="26" t="s">
        <v>26</v>
      </c>
      <c r="B59" s="27" t="s">
        <v>61</v>
      </c>
      <c r="C59" s="28">
        <f>4400/25</f>
        <v>176</v>
      </c>
      <c r="D59" s="27">
        <v>25</v>
      </c>
      <c r="E59" s="39">
        <f t="shared" si="0"/>
        <v>4400</v>
      </c>
    </row>
    <row r="60" spans="1:11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11" ht="15" thickBot="1" x14ac:dyDescent="0.35">
      <c r="A61" s="26" t="s">
        <v>30</v>
      </c>
      <c r="B61" s="27" t="s">
        <v>63</v>
      </c>
      <c r="C61" s="28">
        <f>8800/12</f>
        <v>733.33333333333337</v>
      </c>
      <c r="D61" s="27">
        <v>12</v>
      </c>
      <c r="E61" s="39">
        <f t="shared" si="0"/>
        <v>8800</v>
      </c>
    </row>
    <row r="62" spans="1:11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  <c r="J62" s="32"/>
    </row>
    <row r="63" spans="1:11" ht="15" thickBot="1" x14ac:dyDescent="0.35">
      <c r="A63" s="26" t="s">
        <v>34</v>
      </c>
      <c r="B63" s="27" t="s">
        <v>65</v>
      </c>
      <c r="C63" s="28">
        <f>680/4</f>
        <v>170</v>
      </c>
      <c r="D63" s="27">
        <v>4</v>
      </c>
      <c r="E63" s="39">
        <f t="shared" si="0"/>
        <v>680</v>
      </c>
    </row>
    <row r="64" spans="1:11" ht="15" thickBot="1" x14ac:dyDescent="0.35">
      <c r="A64" s="26" t="s">
        <v>66</v>
      </c>
      <c r="B64" s="27" t="s">
        <v>67</v>
      </c>
      <c r="C64" s="28">
        <f>4250/25</f>
        <v>170</v>
      </c>
      <c r="D64" s="27">
        <v>25</v>
      </c>
      <c r="E64" s="39">
        <f t="shared" si="0"/>
        <v>4250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f>1000/3</f>
        <v>333.33333333333331</v>
      </c>
      <c r="D67" s="27">
        <v>3</v>
      </c>
      <c r="E67" s="39">
        <f t="shared" si="0"/>
        <v>1000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v>400</v>
      </c>
      <c r="D69"/>
      <c r="E69" s="39">
        <f t="shared" si="0"/>
        <v>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f>2400/6</f>
        <v>400</v>
      </c>
      <c r="D71">
        <v>6</v>
      </c>
      <c r="E71" s="39">
        <f t="shared" si="0"/>
        <v>2400</v>
      </c>
      <c r="M71"/>
    </row>
    <row r="72" spans="1:13" ht="15" thickBot="1" x14ac:dyDescent="0.35">
      <c r="A72" s="11" t="s">
        <v>98</v>
      </c>
      <c r="B72" s="14" t="s">
        <v>99</v>
      </c>
      <c r="C72" s="12">
        <v>800</v>
      </c>
      <c r="D72"/>
      <c r="E72" s="39">
        <f t="shared" si="0"/>
        <v>0</v>
      </c>
      <c r="M72"/>
    </row>
    <row r="73" spans="1:13" ht="15" thickBot="1" x14ac:dyDescent="0.35">
      <c r="A73" s="52" t="s">
        <v>105</v>
      </c>
      <c r="B73" s="27" t="s">
        <v>106</v>
      </c>
      <c r="C73" s="27">
        <v>600</v>
      </c>
      <c r="D73" s="27">
        <v>2</v>
      </c>
      <c r="E73" s="39">
        <f t="shared" si="0"/>
        <v>1200</v>
      </c>
      <c r="M73"/>
    </row>
    <row r="74" spans="1:13" ht="15" thickBot="1" x14ac:dyDescent="0.35">
      <c r="A74" s="27"/>
      <c r="B74" s="27"/>
      <c r="C74" s="27"/>
      <c r="D74" s="27"/>
      <c r="E74" s="39"/>
      <c r="M74"/>
    </row>
    <row r="75" spans="1:13" ht="15" thickBot="1" x14ac:dyDescent="0.35">
      <c r="A75" s="31">
        <v>7</v>
      </c>
      <c r="B75" s="22" t="s">
        <v>76</v>
      </c>
      <c r="C75" s="23"/>
      <c r="D75" s="23"/>
      <c r="E75" s="39">
        <f t="shared" si="0"/>
        <v>0</v>
      </c>
      <c r="M75"/>
    </row>
    <row r="76" spans="1:13" ht="15" thickBot="1" x14ac:dyDescent="0.35">
      <c r="A76" s="26" t="s">
        <v>6</v>
      </c>
      <c r="B76" s="27" t="s">
        <v>77</v>
      </c>
      <c r="C76" s="27"/>
      <c r="D76" s="27"/>
      <c r="E76" s="39">
        <f t="shared" ref="E76:E77" si="2">C76*D76</f>
        <v>0</v>
      </c>
      <c r="M76"/>
    </row>
    <row r="77" spans="1:13" ht="15" thickBot="1" x14ac:dyDescent="0.35">
      <c r="A77" s="26" t="s">
        <v>8</v>
      </c>
      <c r="B77" s="27" t="s">
        <v>78</v>
      </c>
      <c r="C77" s="28">
        <v>2000</v>
      </c>
      <c r="D77" s="27"/>
      <c r="E77" s="39">
        <f t="shared" si="2"/>
        <v>0</v>
      </c>
      <c r="M77"/>
    </row>
    <row r="78" spans="1:13" x14ac:dyDescent="0.3">
      <c r="K78" s="51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4" si="3">D79*C79</f>
        <v>0</v>
      </c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3"/>
        <v>0</v>
      </c>
    </row>
    <row r="81" spans="1:10" x14ac:dyDescent="0.3">
      <c r="A81" s="47" t="s">
        <v>8</v>
      </c>
      <c r="B81" s="14" t="s">
        <v>107</v>
      </c>
      <c r="C81">
        <v>200</v>
      </c>
      <c r="D81" s="12">
        <v>1</v>
      </c>
      <c r="E81" s="13">
        <f t="shared" si="3"/>
        <v>200</v>
      </c>
    </row>
    <row r="82" spans="1:10" x14ac:dyDescent="0.3">
      <c r="A82" s="47" t="s">
        <v>10</v>
      </c>
      <c r="B82" s="14" t="s">
        <v>108</v>
      </c>
      <c r="C82">
        <v>2500</v>
      </c>
      <c r="D82" s="12">
        <v>1</v>
      </c>
      <c r="E82" s="13">
        <f t="shared" si="3"/>
        <v>2500</v>
      </c>
    </row>
    <row r="83" spans="1:10" x14ac:dyDescent="0.3">
      <c r="A83" s="47" t="s">
        <v>12</v>
      </c>
      <c r="B83" s="14" t="s">
        <v>109</v>
      </c>
      <c r="C83">
        <v>2000</v>
      </c>
      <c r="D83" s="12">
        <v>1</v>
      </c>
      <c r="E83" s="13">
        <f t="shared" si="3"/>
        <v>2000</v>
      </c>
    </row>
    <row r="84" spans="1:10" x14ac:dyDescent="0.3">
      <c r="E84" s="13">
        <f t="shared" si="3"/>
        <v>0</v>
      </c>
    </row>
    <row r="85" spans="1:10" x14ac:dyDescent="0.3">
      <c r="B85" t="s">
        <v>80</v>
      </c>
      <c r="E85" s="13">
        <f>SUM(E2:E84)</f>
        <v>53480</v>
      </c>
    </row>
    <row r="88" spans="1:10" x14ac:dyDescent="0.3">
      <c r="J88" s="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6"/>
  <sheetViews>
    <sheetView zoomScale="80" zoomScaleNormal="55" workbookViewId="0">
      <selection activeCell="B84" sqref="B8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1" max="11" width="8.7773437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28000</v>
      </c>
      <c r="D29">
        <v>1</v>
      </c>
      <c r="E29" s="13">
        <f t="shared" si="0"/>
        <v>28000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K73" s="51"/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5" si="2">D78*C78</f>
        <v>0</v>
      </c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7" t="s">
        <v>8</v>
      </c>
      <c r="B80" s="14" t="s">
        <v>111</v>
      </c>
      <c r="C80">
        <v>800</v>
      </c>
      <c r="D80" s="12">
        <v>1</v>
      </c>
      <c r="E80" s="13">
        <f t="shared" si="2"/>
        <v>800</v>
      </c>
    </row>
    <row r="81" spans="1:13" x14ac:dyDescent="0.3">
      <c r="A81" s="47" t="s">
        <v>10</v>
      </c>
      <c r="B81" s="14" t="s">
        <v>112</v>
      </c>
      <c r="C81">
        <v>2000</v>
      </c>
      <c r="D81" s="12">
        <v>1</v>
      </c>
      <c r="E81" s="13">
        <f t="shared" si="2"/>
        <v>2000</v>
      </c>
    </row>
    <row r="82" spans="1:13" x14ac:dyDescent="0.3">
      <c r="A82" s="47" t="s">
        <v>12</v>
      </c>
      <c r="B82" s="14" t="s">
        <v>113</v>
      </c>
      <c r="C82">
        <v>500</v>
      </c>
      <c r="D82" s="12">
        <v>1</v>
      </c>
      <c r="E82" s="13">
        <f t="shared" si="2"/>
        <v>500</v>
      </c>
    </row>
    <row r="83" spans="1:13" x14ac:dyDescent="0.3">
      <c r="A83" s="47" t="s">
        <v>14</v>
      </c>
      <c r="B83" s="14" t="s">
        <v>114</v>
      </c>
      <c r="C83">
        <v>6500</v>
      </c>
      <c r="D83" s="12">
        <v>1</v>
      </c>
      <c r="E83" s="13">
        <f t="shared" si="2"/>
        <v>6500</v>
      </c>
    </row>
    <row r="84" spans="1:13" x14ac:dyDescent="0.3">
      <c r="A84" s="47" t="s">
        <v>22</v>
      </c>
      <c r="B84" s="14" t="s">
        <v>110</v>
      </c>
      <c r="C84">
        <v>600</v>
      </c>
      <c r="D84" s="12">
        <v>1</v>
      </c>
      <c r="E84" s="13">
        <f t="shared" si="2"/>
        <v>600</v>
      </c>
    </row>
    <row r="85" spans="1:13" x14ac:dyDescent="0.3">
      <c r="E85" s="13">
        <f t="shared" si="2"/>
        <v>0</v>
      </c>
    </row>
    <row r="86" spans="1:13" x14ac:dyDescent="0.3">
      <c r="B86" t="s">
        <v>80</v>
      </c>
      <c r="E86" s="13">
        <f>SUM(E2:E85)</f>
        <v>43900</v>
      </c>
      <c r="M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4"/>
  <sheetViews>
    <sheetView zoomScale="89" workbookViewId="0">
      <selection activeCell="D53" sqref="D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116</v>
      </c>
      <c r="C32" s="12">
        <v>2000</v>
      </c>
      <c r="D32">
        <v>2</v>
      </c>
      <c r="E32" s="13">
        <f t="shared" si="0"/>
        <v>4000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9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9" x14ac:dyDescent="0.3">
      <c r="A50" s="11"/>
      <c r="C50" s="12"/>
      <c r="D50"/>
      <c r="E50" s="13">
        <f t="shared" si="1"/>
        <v>0</v>
      </c>
    </row>
    <row r="51" spans="1:9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9" x14ac:dyDescent="0.3">
      <c r="A52" s="11" t="s">
        <v>6</v>
      </c>
      <c r="B52" s="14" t="s">
        <v>54</v>
      </c>
      <c r="C52" s="12">
        <v>8500</v>
      </c>
      <c r="D52">
        <v>1</v>
      </c>
      <c r="E52" s="13">
        <f t="shared" si="1"/>
        <v>8500</v>
      </c>
    </row>
    <row r="53" spans="1:9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9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9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9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9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9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9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9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9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9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9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9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  <c r="I64" s="51"/>
    </row>
    <row r="65" spans="1:9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9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9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9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9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9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9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I71" s="51"/>
    </row>
    <row r="72" spans="1:9" x14ac:dyDescent="0.3">
      <c r="A72" s="11" t="s">
        <v>98</v>
      </c>
      <c r="B72" s="14" t="s">
        <v>99</v>
      </c>
      <c r="C72" s="12">
        <v>800</v>
      </c>
      <c r="D72"/>
    </row>
    <row r="73" spans="1:9" x14ac:dyDescent="0.3">
      <c r="C73" s="12"/>
      <c r="D73"/>
      <c r="E73" s="13">
        <f t="shared" si="1"/>
        <v>0</v>
      </c>
    </row>
    <row r="74" spans="1:9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9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9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9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9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9" x14ac:dyDescent="0.3">
      <c r="A80" s="47" t="s">
        <v>8</v>
      </c>
      <c r="B80" s="14" t="s">
        <v>115</v>
      </c>
      <c r="C80">
        <v>500</v>
      </c>
      <c r="D80" s="12">
        <v>1</v>
      </c>
      <c r="E80" s="13">
        <f t="shared" si="2"/>
        <v>500</v>
      </c>
    </row>
    <row r="81" spans="1:5" x14ac:dyDescent="0.3">
      <c r="A81" s="47" t="s">
        <v>10</v>
      </c>
      <c r="B81" s="14" t="s">
        <v>111</v>
      </c>
      <c r="C81">
        <v>700</v>
      </c>
      <c r="D81" s="12">
        <v>1</v>
      </c>
      <c r="E81" s="13">
        <f t="shared" si="2"/>
        <v>700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E83" s="13">
        <f t="shared" si="2"/>
        <v>0</v>
      </c>
    </row>
    <row r="84" spans="1:5" x14ac:dyDescent="0.3">
      <c r="B84" t="s">
        <v>80</v>
      </c>
      <c r="E84" s="13">
        <f>SUM(E2:E83)</f>
        <v>13700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12" workbookViewId="0">
      <selection activeCell="B20" sqref="B2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f>4800/12</f>
        <v>400</v>
      </c>
      <c r="D3">
        <v>24</v>
      </c>
      <c r="E3" s="13">
        <f t="shared" ref="E3:E42" si="0">D3*C3</f>
        <v>9600</v>
      </c>
    </row>
    <row r="4" spans="1:10" x14ac:dyDescent="0.3">
      <c r="A4" s="11" t="s">
        <v>8</v>
      </c>
      <c r="B4" t="s">
        <v>9</v>
      </c>
      <c r="C4" s="12">
        <f>4800/12</f>
        <v>400</v>
      </c>
      <c r="D4">
        <v>24</v>
      </c>
      <c r="E4" s="13">
        <f t="shared" si="0"/>
        <v>9600</v>
      </c>
      <c r="I4" s="51"/>
    </row>
    <row r="5" spans="1:10" x14ac:dyDescent="0.3">
      <c r="A5" s="11" t="s">
        <v>10</v>
      </c>
      <c r="B5" t="s">
        <v>11</v>
      </c>
      <c r="C5" s="12">
        <f>7100/12</f>
        <v>591.66666666666663</v>
      </c>
      <c r="D5">
        <v>12</v>
      </c>
      <c r="E5" s="13">
        <f t="shared" si="0"/>
        <v>7100</v>
      </c>
    </row>
    <row r="6" spans="1:10" x14ac:dyDescent="0.3">
      <c r="A6" s="11" t="s">
        <v>12</v>
      </c>
      <c r="B6" t="s">
        <v>13</v>
      </c>
      <c r="C6" s="12">
        <f>8000/12</f>
        <v>666.66666666666663</v>
      </c>
      <c r="D6">
        <v>12</v>
      </c>
      <c r="E6" s="13">
        <f>D6*C6</f>
        <v>8000</v>
      </c>
      <c r="J6" s="51"/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G7" s="43"/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4200/12</f>
        <v>350</v>
      </c>
      <c r="D10">
        <v>12</v>
      </c>
      <c r="E10" s="13">
        <f>D10*C10</f>
        <v>4200</v>
      </c>
    </row>
    <row r="11" spans="1:10" x14ac:dyDescent="0.3">
      <c r="A11" s="11" t="s">
        <v>8</v>
      </c>
      <c r="B11" t="s">
        <v>18</v>
      </c>
      <c r="C11" s="12">
        <f>2800/12</f>
        <v>233.33333333333334</v>
      </c>
      <c r="D11">
        <v>12</v>
      </c>
      <c r="E11" s="13">
        <f>D11*C11</f>
        <v>2800</v>
      </c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291.66666666666669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f>2800/12</f>
        <v>233.33333333333334</v>
      </c>
      <c r="D16">
        <v>24</v>
      </c>
      <c r="E16" s="13">
        <f t="shared" si="0"/>
        <v>5600</v>
      </c>
      <c r="J16" s="32"/>
    </row>
    <row r="17" spans="1:10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10" x14ac:dyDescent="0.3">
      <c r="A18" s="11" t="s">
        <v>28</v>
      </c>
      <c r="B18" t="s">
        <v>29</v>
      </c>
      <c r="C18" s="12">
        <f>2800/12</f>
        <v>233.33333333333334</v>
      </c>
      <c r="D18">
        <v>12</v>
      </c>
      <c r="E18" s="13">
        <f t="shared" si="0"/>
        <v>2800</v>
      </c>
    </row>
    <row r="19" spans="1:10" x14ac:dyDescent="0.3">
      <c r="A19" s="11" t="s">
        <v>30</v>
      </c>
      <c r="B19" t="s">
        <v>31</v>
      </c>
      <c r="C19" s="12">
        <f>3500/12</f>
        <v>291.66666666666669</v>
      </c>
      <c r="D19">
        <v>12</v>
      </c>
      <c r="E19" s="13">
        <f t="shared" si="0"/>
        <v>3500</v>
      </c>
    </row>
    <row r="20" spans="1:10" x14ac:dyDescent="0.3">
      <c r="A20" s="11" t="s">
        <v>32</v>
      </c>
      <c r="B20" t="s">
        <v>33</v>
      </c>
      <c r="C20" s="12">
        <v>83.333333333333329</v>
      </c>
      <c r="D20"/>
      <c r="E20" s="13">
        <f t="shared" si="0"/>
        <v>0</v>
      </c>
    </row>
    <row r="21" spans="1:10" x14ac:dyDescent="0.3">
      <c r="A21" s="11" t="s">
        <v>34</v>
      </c>
      <c r="B21" t="s">
        <v>35</v>
      </c>
      <c r="C21" s="12">
        <f>3300/12</f>
        <v>275</v>
      </c>
      <c r="D21">
        <v>24</v>
      </c>
      <c r="E21" s="13">
        <f t="shared" si="0"/>
        <v>6600</v>
      </c>
    </row>
    <row r="22" spans="1:10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10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10" x14ac:dyDescent="0.3">
      <c r="A24" s="11" t="s">
        <v>70</v>
      </c>
      <c r="B24" t="s">
        <v>94</v>
      </c>
      <c r="C24" s="12">
        <f>6000/12</f>
        <v>500</v>
      </c>
      <c r="D24">
        <v>12</v>
      </c>
      <c r="E24" s="13">
        <f t="shared" si="0"/>
        <v>6000</v>
      </c>
    </row>
    <row r="25" spans="1:10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10" x14ac:dyDescent="0.3">
      <c r="A26" s="11"/>
      <c r="C26" s="12"/>
      <c r="D26"/>
      <c r="E26" s="13">
        <f t="shared" si="0"/>
        <v>0</v>
      </c>
    </row>
    <row r="27" spans="1:10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10" x14ac:dyDescent="0.3">
      <c r="A28" s="11" t="s">
        <v>6</v>
      </c>
      <c r="B28" t="s">
        <v>37</v>
      </c>
      <c r="C28" s="12">
        <v>30000</v>
      </c>
      <c r="D28">
        <v>1</v>
      </c>
      <c r="E28" s="13">
        <f t="shared" si="0"/>
        <v>30000</v>
      </c>
    </row>
    <row r="29" spans="1:10" x14ac:dyDescent="0.3">
      <c r="A29" s="11" t="s">
        <v>8</v>
      </c>
      <c r="B29" t="s">
        <v>38</v>
      </c>
      <c r="C29" s="12">
        <v>24000</v>
      </c>
      <c r="D29"/>
      <c r="E29" s="13">
        <f t="shared" si="0"/>
        <v>0</v>
      </c>
    </row>
    <row r="30" spans="1:10" x14ac:dyDescent="0.3">
      <c r="A30" s="11" t="s">
        <v>10</v>
      </c>
      <c r="B30" t="s">
        <v>39</v>
      </c>
      <c r="C30" s="12"/>
      <c r="D30"/>
      <c r="E30" s="13">
        <f t="shared" si="0"/>
        <v>0</v>
      </c>
      <c r="J30" s="51"/>
    </row>
    <row r="31" spans="1:10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10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51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1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f>6900/12</f>
        <v>575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3" si="2">D78*C78</f>
        <v>0</v>
      </c>
    </row>
    <row r="79" spans="1:5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7" t="s">
        <v>8</v>
      </c>
      <c r="B80" s="14" t="s">
        <v>117</v>
      </c>
      <c r="C80">
        <v>12800</v>
      </c>
      <c r="D80" s="12">
        <v>1</v>
      </c>
      <c r="E80" s="13">
        <f t="shared" si="2"/>
        <v>12800</v>
      </c>
    </row>
    <row r="81" spans="1:5" x14ac:dyDescent="0.3">
      <c r="A81" s="47" t="s">
        <v>10</v>
      </c>
      <c r="B81" s="14" t="s">
        <v>112</v>
      </c>
      <c r="C81">
        <v>2000</v>
      </c>
      <c r="D81" s="12">
        <v>1</v>
      </c>
      <c r="E81" s="13">
        <f t="shared" si="2"/>
        <v>2000</v>
      </c>
    </row>
    <row r="82" spans="1:5" x14ac:dyDescent="0.3">
      <c r="A82" s="47"/>
      <c r="B82" s="14"/>
      <c r="E82" s="13">
        <f t="shared" si="2"/>
        <v>0</v>
      </c>
    </row>
    <row r="83" spans="1:5" x14ac:dyDescent="0.3">
      <c r="A83" s="47"/>
      <c r="E83" s="13">
        <f t="shared" si="2"/>
        <v>0</v>
      </c>
    </row>
    <row r="84" spans="1:5" x14ac:dyDescent="0.3">
      <c r="B84" t="s">
        <v>80</v>
      </c>
      <c r="E84" s="13">
        <f>SUM(E2:E83)</f>
        <v>113100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5"/>
  <sheetViews>
    <sheetView topLeftCell="A13" workbookViewId="0">
      <selection activeCell="C20" sqref="C2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1300/12</f>
        <v>108.33333333333333</v>
      </c>
      <c r="D20">
        <v>24</v>
      </c>
      <c r="E20" s="13">
        <f t="shared" si="0"/>
        <v>2600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6000</v>
      </c>
      <c r="D28">
        <v>1</v>
      </c>
      <c r="E28" s="13">
        <f t="shared" si="0"/>
        <v>6000</v>
      </c>
    </row>
    <row r="29" spans="1:5" x14ac:dyDescent="0.3">
      <c r="A29" s="11" t="s">
        <v>8</v>
      </c>
      <c r="B29" t="s">
        <v>38</v>
      </c>
      <c r="C29" s="12">
        <v>30000</v>
      </c>
      <c r="D29">
        <v>1</v>
      </c>
      <c r="E29" s="13">
        <f t="shared" si="0"/>
        <v>30000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10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0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0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0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0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10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10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10" x14ac:dyDescent="0.3">
      <c r="A72" s="11" t="s">
        <v>98</v>
      </c>
      <c r="B72" s="14" t="s">
        <v>99</v>
      </c>
      <c r="C72" s="12">
        <v>800</v>
      </c>
      <c r="D72"/>
    </row>
    <row r="73" spans="1:10" x14ac:dyDescent="0.3">
      <c r="C73" s="12"/>
      <c r="D73"/>
      <c r="E73" s="13">
        <f t="shared" si="1"/>
        <v>0</v>
      </c>
    </row>
    <row r="74" spans="1:10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10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J75" s="51"/>
    </row>
    <row r="76" spans="1:10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10" x14ac:dyDescent="0.3">
      <c r="A77" s="11"/>
      <c r="B77" s="14"/>
      <c r="C77" s="12"/>
      <c r="D77"/>
      <c r="J77" s="51"/>
    </row>
    <row r="78" spans="1:10" x14ac:dyDescent="0.3">
      <c r="A78" s="15">
        <v>8</v>
      </c>
      <c r="B78" s="7" t="s">
        <v>96</v>
      </c>
      <c r="C78" s="9"/>
      <c r="D78" s="8"/>
      <c r="E78" s="10">
        <f t="shared" ref="E78:E84" si="2">D78*C78</f>
        <v>0</v>
      </c>
    </row>
    <row r="79" spans="1:10" x14ac:dyDescent="0.3">
      <c r="A79" s="47" t="s">
        <v>6</v>
      </c>
      <c r="B79" s="14" t="s">
        <v>97</v>
      </c>
      <c r="C79">
        <v>100</v>
      </c>
      <c r="E79" s="13">
        <f t="shared" si="2"/>
        <v>0</v>
      </c>
    </row>
    <row r="80" spans="1:10" x14ac:dyDescent="0.3">
      <c r="A80" s="47" t="s">
        <v>8</v>
      </c>
      <c r="B80" s="14" t="s">
        <v>112</v>
      </c>
      <c r="C80">
        <v>700</v>
      </c>
      <c r="D80" s="12">
        <v>1</v>
      </c>
      <c r="E80" s="13">
        <f t="shared" si="2"/>
        <v>700</v>
      </c>
    </row>
    <row r="81" spans="1:5" x14ac:dyDescent="0.3">
      <c r="A81" s="47" t="s">
        <v>10</v>
      </c>
      <c r="B81" s="14" t="s">
        <v>103</v>
      </c>
      <c r="C81">
        <v>12800</v>
      </c>
      <c r="D81" s="12">
        <v>1</v>
      </c>
      <c r="E81" s="13">
        <f t="shared" si="2"/>
        <v>12800</v>
      </c>
    </row>
    <row r="82" spans="1:5" x14ac:dyDescent="0.3">
      <c r="A82" s="47" t="s">
        <v>12</v>
      </c>
      <c r="B82" s="14" t="s">
        <v>111</v>
      </c>
      <c r="C82">
        <v>500</v>
      </c>
      <c r="D82" s="12">
        <v>1</v>
      </c>
      <c r="E82" s="13">
        <f t="shared" si="2"/>
        <v>500</v>
      </c>
    </row>
    <row r="83" spans="1:5" x14ac:dyDescent="0.3">
      <c r="A83" s="47"/>
      <c r="B83" s="14"/>
      <c r="E83" s="13">
        <f t="shared" si="2"/>
        <v>0</v>
      </c>
    </row>
    <row r="84" spans="1:5" x14ac:dyDescent="0.3">
      <c r="E84" s="13">
        <f t="shared" si="2"/>
        <v>0</v>
      </c>
    </row>
    <row r="85" spans="1:5" x14ac:dyDescent="0.3">
      <c r="B85" t="s">
        <v>80</v>
      </c>
      <c r="E85" s="13">
        <f>SUM(E2:E84)</f>
        <v>52600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11"/>
  <sheetViews>
    <sheetView tabSelected="1" topLeftCell="A79" workbookViewId="0">
      <selection activeCell="D21" sqref="D2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/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f>10500/10</f>
        <v>1050</v>
      </c>
      <c r="D14">
        <v>10</v>
      </c>
      <c r="E14" s="13">
        <f t="shared" si="0"/>
        <v>10500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50">
        <f>1300/12</f>
        <v>108.33333333333333</v>
      </c>
      <c r="D20" s="53">
        <v>96</v>
      </c>
      <c r="E20" s="13">
        <f t="shared" si="0"/>
        <v>10400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30000</v>
      </c>
      <c r="D28"/>
      <c r="E28" s="13">
        <f t="shared" si="0"/>
        <v>0</v>
      </c>
      <c r="M28" s="33"/>
    </row>
    <row r="29" spans="1:13" x14ac:dyDescent="0.3">
      <c r="A29" s="11" t="s">
        <v>8</v>
      </c>
      <c r="B29" t="s">
        <v>38</v>
      </c>
      <c r="C29" s="12">
        <v>28000</v>
      </c>
      <c r="D29">
        <v>1</v>
      </c>
      <c r="E29" s="13">
        <f t="shared" si="0"/>
        <v>28000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116</v>
      </c>
      <c r="C32" s="12">
        <f>14400/6</f>
        <v>2400</v>
      </c>
      <c r="D32">
        <v>6</v>
      </c>
      <c r="E32" s="13">
        <f t="shared" si="0"/>
        <v>14400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f>13000/9</f>
        <v>1444.4444444444443</v>
      </c>
      <c r="D37">
        <v>9</v>
      </c>
      <c r="E37" s="13">
        <f t="shared" si="0"/>
        <v>13000</v>
      </c>
      <c r="M37" s="33"/>
    </row>
    <row r="38" spans="1:13" x14ac:dyDescent="0.3">
      <c r="A38" s="11" t="s">
        <v>32</v>
      </c>
      <c r="B38" t="s">
        <v>95</v>
      </c>
      <c r="C38" s="50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97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G48" s="53"/>
      <c r="H48" s="53"/>
      <c r="I48" s="53"/>
      <c r="J48" s="53"/>
      <c r="K48" s="53"/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G49" s="53"/>
      <c r="H49" s="53"/>
      <c r="I49" s="54"/>
      <c r="J49" s="53"/>
      <c r="K49" s="53"/>
      <c r="M49" s="33"/>
    </row>
    <row r="50" spans="1:13" x14ac:dyDescent="0.3">
      <c r="A50" s="11"/>
      <c r="C50" s="12"/>
      <c r="D50"/>
      <c r="E50" s="13">
        <f t="shared" si="1"/>
        <v>0</v>
      </c>
      <c r="G50" s="53"/>
      <c r="H50" s="53"/>
      <c r="I50" s="54"/>
      <c r="J50" s="53"/>
      <c r="K50" s="53"/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G51" s="53"/>
      <c r="H51" s="53"/>
      <c r="I51" s="54"/>
      <c r="J51" s="54"/>
      <c r="K51" s="53"/>
      <c r="M51" s="33"/>
    </row>
    <row r="52" spans="1:13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  <c r="G52" s="53"/>
      <c r="H52" s="53"/>
      <c r="I52" s="53"/>
      <c r="J52" s="53"/>
      <c r="K52" s="53"/>
      <c r="M52" s="33"/>
    </row>
    <row r="53" spans="1:13" x14ac:dyDescent="0.3">
      <c r="A53" s="11" t="s">
        <v>8</v>
      </c>
      <c r="B53" s="14" t="s">
        <v>55</v>
      </c>
      <c r="C53" s="12">
        <f>1875/6</f>
        <v>312.5</v>
      </c>
      <c r="D53">
        <v>6</v>
      </c>
      <c r="E53" s="13">
        <f t="shared" si="1"/>
        <v>1875</v>
      </c>
      <c r="G53" s="55"/>
      <c r="H53" s="53"/>
      <c r="I53" s="53"/>
      <c r="J53" s="54"/>
      <c r="K53" s="53"/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G54" s="53"/>
      <c r="H54" s="53"/>
      <c r="I54" s="53"/>
      <c r="J54" s="53"/>
      <c r="K54" s="53"/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G55" s="53"/>
      <c r="H55" s="53"/>
      <c r="I55" s="53"/>
      <c r="J55" s="54"/>
      <c r="K55" s="53"/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G56" s="53"/>
      <c r="H56" s="53"/>
      <c r="I56" s="53"/>
      <c r="J56" s="53"/>
      <c r="K56" s="53"/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G57" s="53"/>
      <c r="H57" s="53"/>
      <c r="I57" s="53"/>
      <c r="J57" s="54"/>
      <c r="K57" s="53"/>
      <c r="M57" s="33"/>
    </row>
    <row r="58" spans="1:13" x14ac:dyDescent="0.3">
      <c r="A58" s="11" t="s">
        <v>24</v>
      </c>
      <c r="B58" s="14" t="s">
        <v>60</v>
      </c>
      <c r="C58" s="12">
        <f>25000/24</f>
        <v>1041.6666666666667</v>
      </c>
      <c r="D58">
        <v>24</v>
      </c>
      <c r="E58" s="13">
        <f t="shared" si="1"/>
        <v>25000</v>
      </c>
      <c r="G58" s="53"/>
      <c r="H58" s="53"/>
      <c r="I58" s="53"/>
      <c r="J58" s="53"/>
      <c r="K58" s="53"/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G59" s="53"/>
      <c r="H59" s="53"/>
      <c r="I59" s="53"/>
      <c r="J59" s="54"/>
      <c r="K59" s="53"/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G60" s="53"/>
      <c r="H60" s="53"/>
      <c r="I60" s="53"/>
      <c r="J60" s="53"/>
      <c r="K60" s="53"/>
      <c r="M60" s="33"/>
    </row>
    <row r="61" spans="1:13" x14ac:dyDescent="0.3">
      <c r="A61" s="11" t="s">
        <v>30</v>
      </c>
      <c r="B61" s="14" t="s">
        <v>63</v>
      </c>
      <c r="C61" s="12">
        <f>8400/12</f>
        <v>700</v>
      </c>
      <c r="D61">
        <v>12</v>
      </c>
      <c r="E61" s="13">
        <f t="shared" si="1"/>
        <v>8400</v>
      </c>
      <c r="G61" s="53"/>
      <c r="H61" s="53"/>
      <c r="I61" s="53"/>
      <c r="J61" s="53"/>
      <c r="K61" s="53"/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G62" s="53"/>
      <c r="H62" s="53"/>
      <c r="I62" s="53"/>
      <c r="J62" s="53"/>
      <c r="K62" s="53"/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G63" s="53"/>
      <c r="H63" s="53"/>
      <c r="I63" s="53"/>
      <c r="J63" s="53"/>
      <c r="K63" s="53"/>
      <c r="M63" s="33"/>
    </row>
    <row r="64" spans="1:13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  <c r="G64" s="53"/>
      <c r="H64" s="53"/>
      <c r="I64" s="53"/>
      <c r="J64" s="53"/>
      <c r="K64" s="53"/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G65" s="53"/>
      <c r="H65" s="53"/>
      <c r="I65" s="53"/>
      <c r="J65" s="53"/>
      <c r="K65" s="53"/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G66" s="53"/>
      <c r="H66" s="53"/>
      <c r="I66" s="53"/>
      <c r="J66" s="53"/>
      <c r="K66" s="53"/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G67" s="53"/>
      <c r="H67" s="53"/>
      <c r="I67" s="53"/>
      <c r="J67" s="53"/>
      <c r="K67" s="53"/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G68" s="53"/>
      <c r="H68" s="53"/>
      <c r="I68" s="53"/>
      <c r="J68" s="53"/>
      <c r="K68" s="53"/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G69" s="53"/>
      <c r="H69" s="53"/>
      <c r="I69" s="53"/>
      <c r="J69" s="53"/>
      <c r="K69" s="53"/>
      <c r="M69" s="33"/>
    </row>
    <row r="70" spans="1:13" x14ac:dyDescent="0.3">
      <c r="A70" s="11" t="s">
        <v>85</v>
      </c>
      <c r="B70" s="14" t="s">
        <v>86</v>
      </c>
      <c r="C70" s="12">
        <f>1875/6</f>
        <v>312.5</v>
      </c>
      <c r="D70">
        <v>6</v>
      </c>
      <c r="E70" s="13">
        <f t="shared" si="1"/>
        <v>1875</v>
      </c>
      <c r="G70" s="53"/>
      <c r="H70" s="53"/>
      <c r="I70" s="53"/>
      <c r="J70" s="53"/>
      <c r="K70" s="53"/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G71" s="53"/>
      <c r="H71" s="53"/>
      <c r="I71" s="53"/>
      <c r="J71" s="53"/>
      <c r="K71" s="53"/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G72" s="53"/>
      <c r="H72" s="53"/>
      <c r="I72" s="53"/>
      <c r="J72" s="54"/>
      <c r="K72" s="53"/>
      <c r="M72" s="33"/>
    </row>
    <row r="73" spans="1:13" x14ac:dyDescent="0.3">
      <c r="A73" s="11" t="s">
        <v>105</v>
      </c>
      <c r="B73" s="14" t="s">
        <v>129</v>
      </c>
      <c r="C73" s="12">
        <f>12500/5</f>
        <v>2500</v>
      </c>
      <c r="D73">
        <v>5</v>
      </c>
      <c r="E73" s="13">
        <f t="shared" si="1"/>
        <v>12500</v>
      </c>
      <c r="G73" s="53"/>
      <c r="H73" s="53"/>
      <c r="I73" s="53"/>
      <c r="J73" s="54"/>
      <c r="K73" s="53"/>
      <c r="M73" s="33"/>
    </row>
    <row r="74" spans="1:13" x14ac:dyDescent="0.3">
      <c r="C74" s="12"/>
      <c r="D74"/>
      <c r="E74" s="13">
        <f t="shared" si="1"/>
        <v>0</v>
      </c>
      <c r="G74" s="53"/>
      <c r="H74" s="53"/>
      <c r="I74" s="53"/>
      <c r="J74" s="53"/>
      <c r="K74" s="53"/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G75" s="53"/>
      <c r="H75" s="53"/>
      <c r="I75" s="53"/>
      <c r="J75" s="53"/>
      <c r="K75" s="53"/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G76" s="53"/>
      <c r="H76" s="53"/>
      <c r="I76" s="53"/>
      <c r="J76" s="53"/>
      <c r="K76" s="53"/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G77" s="53"/>
      <c r="H77" s="53"/>
      <c r="I77" s="53"/>
      <c r="J77" s="53"/>
      <c r="K77" s="53"/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G78" s="53"/>
      <c r="H78" s="53"/>
      <c r="I78" s="53"/>
      <c r="J78" s="53"/>
      <c r="K78" s="53"/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G79" s="53"/>
      <c r="H79" s="53"/>
      <c r="I79" s="53"/>
      <c r="J79" s="53"/>
      <c r="K79" s="53"/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G80" s="53"/>
      <c r="H80" s="53"/>
      <c r="I80" s="53"/>
      <c r="J80" s="53"/>
      <c r="K80" s="53"/>
      <c r="M80" s="33"/>
    </row>
    <row r="81" spans="1:13" x14ac:dyDescent="0.3">
      <c r="A81" s="47" t="s">
        <v>8</v>
      </c>
      <c r="B81" s="14" t="s">
        <v>100</v>
      </c>
      <c r="C81">
        <v>1400</v>
      </c>
      <c r="D81" s="12">
        <v>1</v>
      </c>
      <c r="E81" s="13">
        <f t="shared" si="1"/>
        <v>1400</v>
      </c>
      <c r="G81" s="53"/>
      <c r="H81" s="53"/>
      <c r="I81" s="53"/>
      <c r="J81" s="53"/>
      <c r="K81" s="53"/>
      <c r="M81" s="33"/>
    </row>
    <row r="82" spans="1:13" x14ac:dyDescent="0.3">
      <c r="A82" s="47" t="s">
        <v>10</v>
      </c>
      <c r="B82" s="14" t="s">
        <v>118</v>
      </c>
      <c r="C82">
        <v>3000</v>
      </c>
      <c r="D82" s="12">
        <v>2</v>
      </c>
      <c r="E82" s="13">
        <f t="shared" si="1"/>
        <v>6000</v>
      </c>
      <c r="G82" s="53"/>
      <c r="H82" s="53"/>
      <c r="I82" s="53"/>
      <c r="J82" s="53"/>
      <c r="K82" s="53"/>
      <c r="M82" s="33"/>
    </row>
    <row r="83" spans="1:13" x14ac:dyDescent="0.3">
      <c r="A83" s="47" t="s">
        <v>12</v>
      </c>
      <c r="B83" s="14" t="s">
        <v>119</v>
      </c>
      <c r="C83">
        <v>4500</v>
      </c>
      <c r="D83" s="12">
        <v>1</v>
      </c>
      <c r="E83" s="13">
        <f t="shared" si="1"/>
        <v>4500</v>
      </c>
      <c r="G83" s="53"/>
      <c r="H83" s="53"/>
      <c r="I83" s="53"/>
      <c r="J83" s="53"/>
      <c r="K83" s="53"/>
      <c r="M83" s="33"/>
    </row>
    <row r="84" spans="1:13" x14ac:dyDescent="0.3">
      <c r="A84" s="47" t="s">
        <v>14</v>
      </c>
      <c r="B84" s="14" t="s">
        <v>120</v>
      </c>
      <c r="C84">
        <v>15000</v>
      </c>
      <c r="D84" s="12">
        <v>1</v>
      </c>
      <c r="E84" s="13">
        <f t="shared" si="1"/>
        <v>15000</v>
      </c>
      <c r="G84" s="53"/>
      <c r="H84" s="53"/>
      <c r="I84" s="53"/>
      <c r="J84" s="53"/>
      <c r="K84" s="53"/>
      <c r="M84" s="33"/>
    </row>
    <row r="85" spans="1:13" x14ac:dyDescent="0.3">
      <c r="A85" s="47" t="s">
        <v>22</v>
      </c>
      <c r="B85" s="14" t="s">
        <v>112</v>
      </c>
      <c r="C85">
        <v>3850</v>
      </c>
      <c r="D85" s="12">
        <v>1</v>
      </c>
      <c r="E85" s="13">
        <f t="shared" si="1"/>
        <v>3850</v>
      </c>
      <c r="G85" s="53"/>
      <c r="H85" s="53"/>
      <c r="I85" s="53"/>
      <c r="J85" s="53"/>
      <c r="K85" s="53"/>
      <c r="M85" s="33"/>
    </row>
    <row r="86" spans="1:13" x14ac:dyDescent="0.3">
      <c r="A86" s="47" t="s">
        <v>24</v>
      </c>
      <c r="B86" s="14" t="s">
        <v>121</v>
      </c>
      <c r="C86">
        <v>4500</v>
      </c>
      <c r="D86" s="12">
        <v>1</v>
      </c>
      <c r="E86" s="13">
        <f t="shared" si="1"/>
        <v>4500</v>
      </c>
      <c r="G86" s="53"/>
      <c r="H86" s="53"/>
      <c r="I86" s="53"/>
      <c r="J86" s="53"/>
      <c r="K86" s="53"/>
      <c r="M86" s="33"/>
    </row>
    <row r="87" spans="1:13" x14ac:dyDescent="0.3">
      <c r="A87" s="47" t="s">
        <v>26</v>
      </c>
      <c r="B87" s="14" t="s">
        <v>122</v>
      </c>
      <c r="C87">
        <v>1200</v>
      </c>
      <c r="D87" s="12">
        <v>1</v>
      </c>
      <c r="E87" s="13">
        <f t="shared" si="1"/>
        <v>1200</v>
      </c>
      <c r="G87" s="53"/>
      <c r="H87" s="53"/>
      <c r="I87" s="53"/>
      <c r="J87" s="53"/>
      <c r="K87" s="53"/>
      <c r="M87" s="33"/>
    </row>
    <row r="88" spans="1:13" x14ac:dyDescent="0.3">
      <c r="A88" s="47" t="s">
        <v>28</v>
      </c>
      <c r="B88" s="14" t="s">
        <v>123</v>
      </c>
      <c r="C88">
        <v>500</v>
      </c>
      <c r="D88" s="12">
        <v>1</v>
      </c>
      <c r="E88" s="13">
        <f t="shared" si="1"/>
        <v>500</v>
      </c>
      <c r="G88" s="53"/>
      <c r="H88" s="53"/>
      <c r="I88" s="53"/>
      <c r="J88" s="53"/>
      <c r="K88" s="53"/>
      <c r="M88" s="33"/>
    </row>
    <row r="89" spans="1:13" x14ac:dyDescent="0.3">
      <c r="A89" s="47" t="s">
        <v>30</v>
      </c>
      <c r="B89" s="14" t="s">
        <v>124</v>
      </c>
      <c r="C89">
        <v>500</v>
      </c>
      <c r="D89" s="12">
        <v>1</v>
      </c>
      <c r="E89" s="13">
        <f t="shared" si="1"/>
        <v>500</v>
      </c>
      <c r="G89" s="53"/>
      <c r="H89" s="53"/>
      <c r="I89" s="53"/>
      <c r="J89" s="53"/>
      <c r="K89" s="53"/>
      <c r="M89" s="33"/>
    </row>
    <row r="90" spans="1:13" x14ac:dyDescent="0.3">
      <c r="A90" s="47" t="s">
        <v>32</v>
      </c>
      <c r="B90" s="14" t="s">
        <v>115</v>
      </c>
      <c r="C90">
        <v>1000</v>
      </c>
      <c r="D90" s="12">
        <v>1</v>
      </c>
      <c r="E90" s="13">
        <f t="shared" si="1"/>
        <v>1000</v>
      </c>
      <c r="G90" s="53"/>
      <c r="H90" s="53"/>
      <c r="I90" s="53"/>
      <c r="J90" s="53"/>
      <c r="K90" s="53"/>
      <c r="M90" s="33"/>
    </row>
    <row r="91" spans="1:13" x14ac:dyDescent="0.3">
      <c r="A91" s="47" t="s">
        <v>34</v>
      </c>
      <c r="B91" s="14" t="s">
        <v>125</v>
      </c>
      <c r="C91">
        <v>700</v>
      </c>
      <c r="D91" s="12">
        <v>1</v>
      </c>
      <c r="E91" s="13">
        <f t="shared" si="1"/>
        <v>700</v>
      </c>
      <c r="G91" s="53"/>
      <c r="H91" s="53"/>
      <c r="I91" s="53"/>
      <c r="J91" s="53"/>
      <c r="K91" s="53"/>
      <c r="M91" s="33"/>
    </row>
    <row r="92" spans="1:13" x14ac:dyDescent="0.3">
      <c r="A92" s="47" t="s">
        <v>66</v>
      </c>
      <c r="B92" s="14" t="s">
        <v>126</v>
      </c>
      <c r="C92">
        <v>500</v>
      </c>
      <c r="D92" s="12">
        <v>1</v>
      </c>
      <c r="E92" s="13">
        <f t="shared" si="1"/>
        <v>500</v>
      </c>
      <c r="G92" s="53"/>
      <c r="H92" s="53"/>
      <c r="I92" s="53"/>
      <c r="J92" s="53"/>
      <c r="K92" s="53"/>
      <c r="M92" s="33"/>
    </row>
    <row r="93" spans="1:13" x14ac:dyDescent="0.3">
      <c r="A93" s="47" t="s">
        <v>68</v>
      </c>
      <c r="B93" s="14" t="s">
        <v>127</v>
      </c>
      <c r="C93">
        <v>400</v>
      </c>
      <c r="D93" s="12">
        <v>1</v>
      </c>
      <c r="E93" s="13">
        <f t="shared" si="1"/>
        <v>400</v>
      </c>
      <c r="G93" s="53"/>
      <c r="H93" s="53"/>
      <c r="I93" s="53"/>
      <c r="J93" s="53"/>
      <c r="K93" s="53"/>
      <c r="M93" s="33"/>
    </row>
    <row r="94" spans="1:13" x14ac:dyDescent="0.3">
      <c r="A94" s="47" t="s">
        <v>70</v>
      </c>
      <c r="B94" s="14" t="s">
        <v>128</v>
      </c>
      <c r="C94">
        <v>250</v>
      </c>
      <c r="D94" s="12">
        <v>1</v>
      </c>
      <c r="E94" s="13">
        <f t="shared" si="1"/>
        <v>250</v>
      </c>
      <c r="G94" s="53"/>
      <c r="H94" s="53"/>
      <c r="I94" s="53"/>
      <c r="J94" s="53"/>
      <c r="K94" s="53"/>
      <c r="M94" s="33"/>
    </row>
    <row r="95" spans="1:13" x14ac:dyDescent="0.3">
      <c r="A95" s="47" t="s">
        <v>72</v>
      </c>
      <c r="B95" s="14" t="s">
        <v>107</v>
      </c>
      <c r="C95">
        <v>1000</v>
      </c>
      <c r="D95" s="12">
        <v>1</v>
      </c>
      <c r="E95" s="13">
        <f t="shared" si="1"/>
        <v>1000</v>
      </c>
      <c r="G95" s="53"/>
      <c r="H95" s="53"/>
      <c r="I95" s="53"/>
      <c r="J95" s="53"/>
      <c r="K95" s="53"/>
      <c r="M95" s="33"/>
    </row>
    <row r="96" spans="1:13" x14ac:dyDescent="0.3">
      <c r="A96" s="47"/>
      <c r="B96" s="14"/>
      <c r="G96" s="53"/>
      <c r="H96" s="53"/>
      <c r="I96" s="53"/>
      <c r="J96" s="53"/>
      <c r="K96" s="53"/>
      <c r="M96" s="33"/>
    </row>
    <row r="97" spans="2:13" x14ac:dyDescent="0.3">
      <c r="E97" s="13">
        <f t="shared" si="1"/>
        <v>0</v>
      </c>
      <c r="G97" s="53"/>
      <c r="H97" s="53"/>
      <c r="I97" s="53"/>
      <c r="J97" s="53"/>
      <c r="K97" s="53"/>
      <c r="M97" s="33"/>
    </row>
    <row r="98" spans="2:13" x14ac:dyDescent="0.3">
      <c r="B98" t="s">
        <v>80</v>
      </c>
      <c r="E98" s="13">
        <f>SUM(E2:E97)</f>
        <v>172750</v>
      </c>
      <c r="G98" s="53"/>
      <c r="H98" s="53"/>
      <c r="I98" s="53"/>
      <c r="J98" s="53"/>
      <c r="K98" s="53"/>
    </row>
    <row r="99" spans="2:13" x14ac:dyDescent="0.3">
      <c r="G99" s="53"/>
      <c r="H99" s="53"/>
      <c r="I99" s="53"/>
      <c r="J99" s="53"/>
      <c r="K99" s="53"/>
    </row>
    <row r="100" spans="2:13" x14ac:dyDescent="0.3">
      <c r="G100" s="53"/>
      <c r="H100" s="53"/>
      <c r="I100" s="53"/>
      <c r="J100" s="53"/>
      <c r="K100" s="53"/>
    </row>
    <row r="101" spans="2:13" x14ac:dyDescent="0.3">
      <c r="G101" s="53"/>
      <c r="H101" s="53"/>
      <c r="I101" s="53"/>
      <c r="J101" s="53"/>
      <c r="K101" s="53"/>
    </row>
    <row r="102" spans="2:13" x14ac:dyDescent="0.3">
      <c r="G102" s="53"/>
      <c r="H102" s="53"/>
      <c r="I102" s="53"/>
      <c r="J102" s="54"/>
      <c r="K102" s="53"/>
    </row>
    <row r="103" spans="2:13" x14ac:dyDescent="0.3">
      <c r="G103" s="53"/>
      <c r="H103" s="53"/>
      <c r="I103" s="53"/>
      <c r="J103" s="53"/>
      <c r="K103" s="53"/>
    </row>
    <row r="104" spans="2:13" x14ac:dyDescent="0.3">
      <c r="G104" s="53"/>
      <c r="H104" s="53"/>
      <c r="I104" s="53"/>
      <c r="J104" s="53"/>
      <c r="K104" s="54"/>
    </row>
    <row r="105" spans="2:13" x14ac:dyDescent="0.3">
      <c r="G105" s="53"/>
      <c r="H105" s="53"/>
      <c r="I105" s="53"/>
      <c r="J105" s="53"/>
      <c r="K105" s="53"/>
    </row>
    <row r="106" spans="2:13" x14ac:dyDescent="0.3">
      <c r="G106" s="53"/>
      <c r="H106" s="53"/>
      <c r="I106" s="53"/>
      <c r="J106" s="54"/>
      <c r="K106" s="54"/>
    </row>
    <row r="107" spans="2:13" x14ac:dyDescent="0.3">
      <c r="G107" s="53"/>
      <c r="H107" s="53"/>
      <c r="I107" s="53"/>
      <c r="J107" s="53"/>
      <c r="K107" s="53"/>
    </row>
    <row r="108" spans="2:13" x14ac:dyDescent="0.3">
      <c r="G108" s="53"/>
      <c r="H108" s="53"/>
      <c r="I108" s="53"/>
      <c r="J108" s="53"/>
      <c r="K108" s="54"/>
    </row>
    <row r="109" spans="2:13" x14ac:dyDescent="0.3">
      <c r="G109" s="53"/>
      <c r="H109" s="53"/>
      <c r="I109" s="53"/>
      <c r="J109" s="53"/>
      <c r="K109" s="53"/>
    </row>
    <row r="110" spans="2:13" x14ac:dyDescent="0.3">
      <c r="G110" s="53"/>
      <c r="H110" s="53"/>
      <c r="I110" s="53"/>
      <c r="J110" s="53"/>
      <c r="K110" s="53"/>
    </row>
    <row r="111" spans="2:13" x14ac:dyDescent="0.3">
      <c r="G111" s="53"/>
      <c r="H111" s="53"/>
      <c r="I111" s="53"/>
      <c r="J111" s="53"/>
      <c r="K111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Expence-8</vt:lpstr>
      <vt:lpstr>Expence-9</vt:lpstr>
      <vt:lpstr>Expence-10</vt:lpstr>
      <vt:lpstr>Expence-11</vt:lpstr>
      <vt:lpstr>Expence-12</vt:lpstr>
      <vt:lpstr>Expence-13</vt:lpstr>
      <vt:lpstr>Expence-14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2024-03-17T13:38:48Z</dcterms:modified>
</cp:coreProperties>
</file>
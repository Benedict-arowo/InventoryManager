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Jan\"/>
    </mc:Choice>
  </mc:AlternateContent>
  <xr:revisionPtr revIDLastSave="0" documentId="13_ncr:1_{2733B238-12C9-4C3B-B064-20DF33932C14}" xr6:coauthVersionLast="47" xr6:coauthVersionMax="47" xr10:uidLastSave="{00000000-0000-0000-0000-000000000000}"/>
  <bookViews>
    <workbookView xWindow="-108" yWindow="-108" windowWidth="23256" windowHeight="12456" tabRatio="658" activeTab="2" xr2:uid="{00000000-000D-0000-FFFF-FFFF00000000}"/>
  </bookViews>
  <sheets>
    <sheet name="Summary" sheetId="8" r:id="rId1"/>
    <sheet name="Expence-1" sheetId="1" r:id="rId2"/>
    <sheet name="Expence-2" sheetId="2" r:id="rId3"/>
    <sheet name="Expence-3" sheetId="3" r:id="rId4"/>
    <sheet name="Expence-4" sheetId="4" r:id="rId5"/>
    <sheet name="Expence-5" sheetId="5" r:id="rId6"/>
    <sheet name="Expence-6" sheetId="6" r:id="rId7"/>
    <sheet name="Expence-7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8" l="1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E79" i="2"/>
  <c r="E80" i="2"/>
  <c r="E81" i="2"/>
  <c r="E82" i="2"/>
  <c r="E83" i="2"/>
  <c r="E84" i="2"/>
  <c r="E80" i="3"/>
  <c r="E81" i="3"/>
  <c r="E82" i="3"/>
  <c r="E83" i="3"/>
  <c r="E84" i="3"/>
  <c r="E79" i="4"/>
  <c r="E80" i="4"/>
  <c r="E81" i="4"/>
  <c r="E82" i="4"/>
  <c r="E83" i="4"/>
  <c r="E84" i="4"/>
  <c r="E80" i="5"/>
  <c r="E81" i="5"/>
  <c r="E82" i="5"/>
  <c r="E83" i="5"/>
  <c r="E84" i="5"/>
  <c r="E79" i="6"/>
  <c r="E80" i="6"/>
  <c r="E81" i="6"/>
  <c r="E82" i="6"/>
  <c r="E83" i="6"/>
  <c r="E84" i="6"/>
  <c r="E79" i="7"/>
  <c r="E80" i="7"/>
  <c r="E81" i="7"/>
  <c r="E82" i="7"/>
  <c r="E83" i="7"/>
  <c r="E84" i="7"/>
  <c r="E85" i="7"/>
  <c r="E86" i="7"/>
  <c r="E83" i="1"/>
  <c r="E84" i="1"/>
  <c r="E85" i="1"/>
  <c r="E86" i="1"/>
  <c r="E87" i="1"/>
  <c r="E79" i="5" l="1"/>
  <c r="C54" i="5"/>
  <c r="C5" i="5"/>
  <c r="E25" i="5"/>
  <c r="C24" i="5"/>
  <c r="E24" i="5" s="1"/>
  <c r="C10" i="5"/>
  <c r="C4" i="5"/>
  <c r="C3" i="5"/>
  <c r="C16" i="5"/>
  <c r="C18" i="5"/>
  <c r="C21" i="5"/>
  <c r="E79" i="3"/>
  <c r="E82" i="1"/>
  <c r="E81" i="1"/>
  <c r="E80" i="1"/>
  <c r="C15" i="1"/>
  <c r="E79" i="1"/>
  <c r="E78" i="6"/>
  <c r="E77" i="6"/>
  <c r="E78" i="5"/>
  <c r="E77" i="5"/>
  <c r="E78" i="4"/>
  <c r="E77" i="4"/>
  <c r="E78" i="3"/>
  <c r="E77" i="3"/>
  <c r="E78" i="2"/>
  <c r="E77" i="2"/>
  <c r="E78" i="1"/>
  <c r="E77" i="1"/>
  <c r="E38" i="1"/>
  <c r="E38" i="2"/>
  <c r="E38" i="3"/>
  <c r="E38" i="4"/>
  <c r="E38" i="5"/>
  <c r="E38" i="6"/>
  <c r="E78" i="7"/>
  <c r="E76" i="7"/>
  <c r="E77" i="7"/>
  <c r="E38" i="7"/>
  <c r="E22" i="6"/>
  <c r="E23" i="6"/>
  <c r="E24" i="6"/>
  <c r="E25" i="6"/>
  <c r="E26" i="6"/>
  <c r="E23" i="5"/>
  <c r="E22" i="3"/>
  <c r="E25" i="2"/>
  <c r="E24" i="2"/>
  <c r="E23" i="2"/>
  <c r="E23" i="1"/>
  <c r="E24" i="1"/>
  <c r="E25" i="1"/>
  <c r="E26" i="1"/>
  <c r="E24" i="4"/>
  <c r="E25" i="3"/>
  <c r="E22" i="2"/>
  <c r="C58" i="1"/>
  <c r="E22" i="5"/>
  <c r="E23" i="4"/>
  <c r="E22" i="4"/>
  <c r="E35" i="1"/>
  <c r="E22" i="1"/>
  <c r="E35" i="2"/>
  <c r="E4" i="2" l="1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6" i="2"/>
  <c r="E27" i="2"/>
  <c r="E28" i="2"/>
  <c r="E29" i="2"/>
  <c r="E30" i="2"/>
  <c r="E31" i="2"/>
  <c r="E32" i="2"/>
  <c r="E33" i="2"/>
  <c r="E34" i="2"/>
  <c r="E36" i="2"/>
  <c r="E37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3" i="2"/>
  <c r="E37" i="6"/>
  <c r="E36" i="6"/>
  <c r="E37" i="5"/>
  <c r="E36" i="5"/>
  <c r="E37" i="4"/>
  <c r="E36" i="4"/>
  <c r="E37" i="3"/>
  <c r="E36" i="3"/>
  <c r="E36" i="1"/>
  <c r="E37" i="1"/>
  <c r="E71" i="1"/>
  <c r="E70" i="1"/>
  <c r="E69" i="1"/>
  <c r="E71" i="3"/>
  <c r="E70" i="3"/>
  <c r="D3" i="8" l="1"/>
  <c r="D88" i="8" s="1"/>
  <c r="E75" i="7" l="1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7" i="7"/>
  <c r="E36" i="7"/>
  <c r="E35" i="7"/>
  <c r="E34" i="7"/>
  <c r="E33" i="7"/>
  <c r="E32" i="7"/>
  <c r="E31" i="7"/>
  <c r="E30" i="7"/>
  <c r="E29" i="7"/>
  <c r="E28" i="7"/>
  <c r="E27" i="7"/>
  <c r="E26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I3" i="8" s="1"/>
  <c r="E2" i="7"/>
  <c r="I88" i="8" l="1"/>
  <c r="E88" i="7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5" i="6"/>
  <c r="E34" i="6"/>
  <c r="E33" i="6"/>
  <c r="E32" i="6"/>
  <c r="E31" i="6"/>
  <c r="E30" i="6"/>
  <c r="E29" i="6"/>
  <c r="E28" i="6"/>
  <c r="E27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H3" i="8" s="1"/>
  <c r="E2" i="6"/>
  <c r="H88" i="8" l="1"/>
  <c r="E87" i="6"/>
  <c r="E75" i="1"/>
  <c r="E74" i="1"/>
  <c r="E73" i="1"/>
  <c r="E72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4" i="1"/>
  <c r="E33" i="1"/>
  <c r="E32" i="1"/>
  <c r="E31" i="1"/>
  <c r="E30" i="1"/>
  <c r="E29" i="1"/>
  <c r="E28" i="1"/>
  <c r="E27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C3" i="8" s="1"/>
  <c r="E2" i="1"/>
  <c r="C88" i="8" l="1"/>
  <c r="E89" i="1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5" i="5"/>
  <c r="E34" i="5"/>
  <c r="E33" i="5"/>
  <c r="E32" i="5"/>
  <c r="E31" i="5"/>
  <c r="E30" i="5"/>
  <c r="E29" i="5"/>
  <c r="E28" i="5"/>
  <c r="E27" i="5"/>
  <c r="E26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G3" i="8" s="1"/>
  <c r="E2" i="5"/>
  <c r="G88" i="8" l="1"/>
  <c r="E87" i="5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5" i="4"/>
  <c r="E34" i="4"/>
  <c r="E33" i="4"/>
  <c r="E32" i="4"/>
  <c r="E31" i="4"/>
  <c r="E30" i="4"/>
  <c r="E29" i="4"/>
  <c r="E28" i="4"/>
  <c r="E27" i="4"/>
  <c r="E26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F3" i="8" s="1"/>
  <c r="E2" i="4"/>
  <c r="E87" i="4" l="1"/>
  <c r="E75" i="3"/>
  <c r="E74" i="3"/>
  <c r="E73" i="3"/>
  <c r="E72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5" i="3"/>
  <c r="E34" i="3"/>
  <c r="E33" i="3"/>
  <c r="E32" i="3"/>
  <c r="E31" i="3"/>
  <c r="E30" i="3"/>
  <c r="E29" i="3"/>
  <c r="E28" i="3"/>
  <c r="E27" i="3"/>
  <c r="E26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F88" i="8" l="1"/>
  <c r="E87" i="3"/>
  <c r="E3" i="8"/>
  <c r="E88" i="2"/>
  <c r="J3" i="8" l="1"/>
  <c r="J88" i="8" s="1"/>
  <c r="E88" i="8"/>
</calcChain>
</file>

<file path=xl/sharedStrings.xml><?xml version="1.0" encoding="utf-8"?>
<sst xmlns="http://schemas.openxmlformats.org/spreadsheetml/2006/main" count="1200" uniqueCount="105">
  <si>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</si>
  <si>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</si>
  <si>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</si>
  <si>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</si>
  <si>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</si>
  <si>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</si>
  <si>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</si>
  <si>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</si>
  <si>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</si>
  <si>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</si>
  <si>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</si>
  <si>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</si>
  <si>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</si>
  <si>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</si>
  <si>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</si>
  <si>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</si>
  <si>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</si>
  <si>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</si>
  <si>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</si>
  <si>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</si>
  <si>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</si>
  <si>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</si>
  <si>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</si>
  <si>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</si>
  <si>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</si>
  <si>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</si>
  <si>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</si>
  <si>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</si>
  <si>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</si>
  <si>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</si>
  <si>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</si>
  <si>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</si>
  <si>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</si>
  <si>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</si>
  <si>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</si>
  <si>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</si>
  <si>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</si>
  <si>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</si>
  <si>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</si>
  <si>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</si>
  <si>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</si>
  <si>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</si>
  <si>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</si>
  <si>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</si>
  <si>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</si>
  <si>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</si>
  <si>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</si>
  <si>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</si>
  <si>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</si>
  <si>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</si>
  <si>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</si>
  <si>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</si>
  <si>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</si>
  <si>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</si>
  <si>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</si>
  <si>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</si>
  <si>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</si>
  <si>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</si>
  <si>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</si>
  <si>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</si>
  <si>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</si>
  <si>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</si>
  <si>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</si>
  <si>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</si>
  <si>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</si>
  <si>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</si>
  <si>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</si>
  <si>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</si>
  <si>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</si>
  <si>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</si>
  <si>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</si>
  <si>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</si>
  <si>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</si>
  <si>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</si>
  <si>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</si>
  <si>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</si>
  <si>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</si>
  <si>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</si>
  <si>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</si>
  <si>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</si>
  <si>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</si>
  <si>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</si>
  <si>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</si>
  <si>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</si>
  <si>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</si>
  <si>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</si>
  <si>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</si>
  <si>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</si>
  <si>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</si>
  <si>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</si>
  <si>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</si>
  <si>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</si>
  <si>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</si>
  <si>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</si>
  <si>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</si>
  <si>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</si>
  <si>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</si>
  <si>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</si>
  <si>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fish</t>
  </si>
  <si>
    <t>Pos charges</t>
  </si>
  <si>
    <t>Iru</t>
  </si>
  <si>
    <t>Dried Pepper</t>
  </si>
  <si>
    <t>Tomatoes &amp; Pepper</t>
  </si>
  <si>
    <t>Maggi</t>
  </si>
  <si>
    <t>Petrol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</si>
</sst>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4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43" fontId="5" fillId="4" borderId="0" xfId="1" applyFon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  <xf numFmtId="0" fontId="0" fillId="8" borderId="0" xfId="0" applyFill="1"/>
    <xf numFmtId="164" fontId="0" fillId="8" borderId="0" xfId="1" applyNumberFormat="1" applyFont="1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8"/>
  <sheetViews>
    <sheetView view="pageBreakPreview" topLeftCell="A60" zoomScale="77" zoomScaleNormal="100" zoomScaleSheetLayoutView="106" workbookViewId="0">
      <selection activeCell="D91" sqref="D91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>
        <v>45292</v>
      </c>
      <c r="D1" s="35">
        <v>45323</v>
      </c>
      <c r="E1" s="35">
        <v>45352</v>
      </c>
      <c r="F1" s="35">
        <v>45383</v>
      </c>
      <c r="G1" s="35">
        <v>45413</v>
      </c>
      <c r="H1" s="35">
        <v>45444</v>
      </c>
      <c r="I1" s="35">
        <v>45474</v>
      </c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'Expence-1'!E3</f>
        <v>0</v>
      </c>
      <c r="D3" s="36">
        <f>'Expence-2'!E3</f>
        <v>0</v>
      </c>
      <c r="E3" s="36">
        <f>'Expence-3'!E3</f>
        <v>0</v>
      </c>
      <c r="F3" s="36">
        <f>'Expence-4'!E3</f>
        <v>0</v>
      </c>
      <c r="G3" s="36">
        <f>'Expence-5'!E3</f>
        <v>9400</v>
      </c>
      <c r="H3" s="36">
        <f>'Expence-6'!E3</f>
        <v>0</v>
      </c>
      <c r="I3" s="36">
        <f>'Expence-7'!E3</f>
        <v>0</v>
      </c>
      <c r="J3" s="34">
        <f>SUM(C3:I3)</f>
        <v>9400</v>
      </c>
      <c r="O3" s="32"/>
    </row>
    <row r="4" spans="1:15" ht="15" thickBot="1" x14ac:dyDescent="0.35">
      <c r="A4" s="26" t="s">
        <v>8</v>
      </c>
      <c r="B4" s="27" t="s">
        <v>9</v>
      </c>
      <c r="C4" s="36">
        <f>'Expence-1'!E4</f>
        <v>15000</v>
      </c>
      <c r="D4" s="36">
        <f>'Expence-2'!E4</f>
        <v>0</v>
      </c>
      <c r="E4" s="36">
        <f>'Expence-3'!E4</f>
        <v>0</v>
      </c>
      <c r="F4" s="36">
        <f>'Expence-4'!E4</f>
        <v>0</v>
      </c>
      <c r="G4" s="36">
        <f>'Expence-5'!E4</f>
        <v>19200</v>
      </c>
      <c r="H4" s="36">
        <f>'Expence-6'!E4</f>
        <v>0</v>
      </c>
      <c r="I4" s="36">
        <f>'Expence-7'!E4</f>
        <v>0</v>
      </c>
      <c r="J4" s="34">
        <f t="shared" ref="J4:J67" si="0">SUM(C4:I4)</f>
        <v>34200</v>
      </c>
    </row>
    <row r="5" spans="1:15" ht="15" thickBot="1" x14ac:dyDescent="0.35">
      <c r="A5" s="26" t="s">
        <v>10</v>
      </c>
      <c r="B5" s="27" t="s">
        <v>11</v>
      </c>
      <c r="C5" s="36">
        <f>'Expence-1'!E5</f>
        <v>0</v>
      </c>
      <c r="D5" s="36">
        <f>'Expence-2'!E5</f>
        <v>0</v>
      </c>
      <c r="E5" s="36">
        <f>'Expence-3'!E5</f>
        <v>0</v>
      </c>
      <c r="F5" s="36">
        <f>'Expence-4'!E5</f>
        <v>0</v>
      </c>
      <c r="G5" s="36">
        <f>'Expence-5'!E5</f>
        <v>13800</v>
      </c>
      <c r="H5" s="36">
        <f>'Expence-6'!E5</f>
        <v>0</v>
      </c>
      <c r="I5" s="36">
        <f>'Expence-7'!E5</f>
        <v>0</v>
      </c>
      <c r="J5" s="34">
        <f t="shared" si="0"/>
        <v>13800</v>
      </c>
    </row>
    <row r="6" spans="1:15" ht="15" thickBot="1" x14ac:dyDescent="0.35">
      <c r="A6" s="26" t="s">
        <v>12</v>
      </c>
      <c r="B6" s="27" t="s">
        <v>13</v>
      </c>
      <c r="C6" s="36">
        <f>'Expence-1'!E6</f>
        <v>0</v>
      </c>
      <c r="D6" s="36">
        <f>'Expence-2'!E6</f>
        <v>0</v>
      </c>
      <c r="E6" s="36">
        <f>'Expence-3'!E6</f>
        <v>0</v>
      </c>
      <c r="F6" s="36">
        <f>'Expence-4'!E6</f>
        <v>0</v>
      </c>
      <c r="G6" s="36">
        <f>'Expence-5'!E6</f>
        <v>6900</v>
      </c>
      <c r="H6" s="36">
        <f>'Expence-6'!E6</f>
        <v>0</v>
      </c>
      <c r="I6" s="36">
        <f>'Expence-7'!E6</f>
        <v>0</v>
      </c>
      <c r="J6" s="34">
        <f t="shared" si="0"/>
        <v>6900</v>
      </c>
    </row>
    <row r="7" spans="1:15" ht="15" thickBot="1" x14ac:dyDescent="0.35">
      <c r="A7" s="26" t="s">
        <v>14</v>
      </c>
      <c r="B7" s="27" t="s">
        <v>15</v>
      </c>
      <c r="C7" s="36">
        <f>'Expence-1'!E7</f>
        <v>0</v>
      </c>
      <c r="D7" s="36">
        <f>'Expence-2'!E7</f>
        <v>0</v>
      </c>
      <c r="E7" s="36">
        <f>'Expence-3'!E7</f>
        <v>0</v>
      </c>
      <c r="F7" s="36">
        <f>'Expence-4'!E7</f>
        <v>0</v>
      </c>
      <c r="G7" s="36">
        <f>'Expence-5'!E7</f>
        <v>0</v>
      </c>
      <c r="H7" s="36">
        <f>'Expence-6'!E7</f>
        <v>0</v>
      </c>
      <c r="I7" s="36">
        <f>'Expence-7'!E7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'Expence-1'!E8</f>
        <v>0</v>
      </c>
      <c r="D8" s="36">
        <f>'Expence-2'!E8</f>
        <v>0</v>
      </c>
      <c r="E8" s="36">
        <f>'Expence-3'!E8</f>
        <v>0</v>
      </c>
      <c r="F8" s="36">
        <f>'Expence-4'!E8</f>
        <v>0</v>
      </c>
      <c r="G8" s="36">
        <f>'Expence-5'!E8</f>
        <v>0</v>
      </c>
      <c r="H8" s="36">
        <f>'Expence-6'!E8</f>
        <v>0</v>
      </c>
      <c r="I8" s="36">
        <f>'Expence-7'!E8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'Expence-1'!E9</f>
        <v>0</v>
      </c>
      <c r="D9" s="36">
        <f>'Expence-2'!E9</f>
        <v>0</v>
      </c>
      <c r="E9" s="36">
        <f>'Expence-3'!E9</f>
        <v>0</v>
      </c>
      <c r="F9" s="36">
        <f>'Expence-4'!E9</f>
        <v>0</v>
      </c>
      <c r="G9" s="36">
        <f>'Expence-5'!E9</f>
        <v>0</v>
      </c>
      <c r="H9" s="36">
        <f>'Expence-6'!E9</f>
        <v>0</v>
      </c>
      <c r="I9" s="36">
        <f>'Expence-7'!E9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'Expence-1'!E10</f>
        <v>0</v>
      </c>
      <c r="D10" s="36">
        <f>'Expence-2'!E10</f>
        <v>0</v>
      </c>
      <c r="E10" s="36">
        <f>'Expence-3'!E10</f>
        <v>0</v>
      </c>
      <c r="F10" s="36">
        <f>'Expence-4'!E10</f>
        <v>0</v>
      </c>
      <c r="G10" s="36">
        <f>'Expence-5'!E10</f>
        <v>3400</v>
      </c>
      <c r="H10" s="36">
        <f>'Expence-6'!E10</f>
        <v>0</v>
      </c>
      <c r="I10" s="36">
        <f>'Expence-7'!E10</f>
        <v>0</v>
      </c>
      <c r="J10" s="34">
        <f t="shared" si="0"/>
        <v>3400</v>
      </c>
    </row>
    <row r="11" spans="1:15" ht="15" thickBot="1" x14ac:dyDescent="0.35">
      <c r="A11" s="26" t="s">
        <v>8</v>
      </c>
      <c r="B11" s="27" t="s">
        <v>18</v>
      </c>
      <c r="C11" s="36">
        <f>'Expence-1'!E11</f>
        <v>0</v>
      </c>
      <c r="D11" s="36">
        <f>'Expence-2'!E11</f>
        <v>0</v>
      </c>
      <c r="E11" s="36">
        <f>'Expence-3'!E11</f>
        <v>0</v>
      </c>
      <c r="F11" s="36">
        <f>'Expence-4'!E11</f>
        <v>0</v>
      </c>
      <c r="G11" s="36">
        <f>'Expence-5'!E11</f>
        <v>2400</v>
      </c>
      <c r="H11" s="36">
        <f>'Expence-6'!E11</f>
        <v>0</v>
      </c>
      <c r="I11" s="36">
        <f>'Expence-7'!E11</f>
        <v>0</v>
      </c>
      <c r="J11" s="34">
        <f t="shared" si="0"/>
        <v>2400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'Expence-1'!E12</f>
        <v>25000</v>
      </c>
      <c r="D12" s="36">
        <f>'Expence-2'!E12</f>
        <v>0</v>
      </c>
      <c r="E12" s="36">
        <f>'Expence-3'!E12</f>
        <v>0</v>
      </c>
      <c r="F12" s="36">
        <f>'Expence-4'!E12</f>
        <v>0</v>
      </c>
      <c r="G12" s="36">
        <f>'Expence-5'!E12</f>
        <v>0</v>
      </c>
      <c r="H12" s="36">
        <f>'Expence-6'!E12</f>
        <v>0</v>
      </c>
      <c r="I12" s="36">
        <f>'Expence-7'!E12</f>
        <v>0</v>
      </c>
      <c r="J12" s="34">
        <f t="shared" si="0"/>
        <v>25000</v>
      </c>
    </row>
    <row r="13" spans="1:15" ht="15" thickBot="1" x14ac:dyDescent="0.35">
      <c r="A13" s="26" t="s">
        <v>12</v>
      </c>
      <c r="B13" s="27" t="s">
        <v>20</v>
      </c>
      <c r="C13" s="36">
        <f>'Expence-1'!E13</f>
        <v>0</v>
      </c>
      <c r="D13" s="36">
        <f>'Expence-2'!E13</f>
        <v>0</v>
      </c>
      <c r="E13" s="36">
        <f>'Expence-3'!E13</f>
        <v>0</v>
      </c>
      <c r="F13" s="36">
        <f>'Expence-4'!E13</f>
        <v>0</v>
      </c>
      <c r="G13" s="36">
        <f>'Expence-5'!E13</f>
        <v>0</v>
      </c>
      <c r="H13" s="36">
        <f>'Expence-6'!E13</f>
        <v>0</v>
      </c>
      <c r="I13" s="36">
        <f>'Expence-7'!E13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'Expence-1'!E14</f>
        <v>0</v>
      </c>
      <c r="D14" s="36">
        <f>'Expence-2'!E14</f>
        <v>0</v>
      </c>
      <c r="E14" s="36">
        <f>'Expence-3'!E14</f>
        <v>0</v>
      </c>
      <c r="F14" s="36">
        <f>'Expence-4'!E14</f>
        <v>0</v>
      </c>
      <c r="G14" s="36">
        <f>'Expence-5'!E14</f>
        <v>5000</v>
      </c>
      <c r="H14" s="36">
        <f>'Expence-6'!E14</f>
        <v>0</v>
      </c>
      <c r="I14" s="36">
        <f>'Expence-7'!E14</f>
        <v>0</v>
      </c>
      <c r="J14" s="34">
        <f t="shared" si="0"/>
        <v>5000</v>
      </c>
    </row>
    <row r="15" spans="1:15" ht="15" thickBot="1" x14ac:dyDescent="0.35">
      <c r="A15" s="26" t="s">
        <v>22</v>
      </c>
      <c r="B15" s="27" t="s">
        <v>23</v>
      </c>
      <c r="C15" s="36">
        <f>'Expence-1'!E15</f>
        <v>6800</v>
      </c>
      <c r="D15" s="36">
        <f>'Expence-2'!E15</f>
        <v>0</v>
      </c>
      <c r="E15" s="36">
        <f>'Expence-3'!E15</f>
        <v>0</v>
      </c>
      <c r="F15" s="36">
        <f>'Expence-4'!E15</f>
        <v>0</v>
      </c>
      <c r="G15" s="36">
        <f>'Expence-5'!E15</f>
        <v>6800</v>
      </c>
      <c r="H15" s="36">
        <f>'Expence-6'!E15</f>
        <v>0</v>
      </c>
      <c r="I15" s="36">
        <f>'Expence-7'!E15</f>
        <v>0</v>
      </c>
      <c r="J15" s="34">
        <f t="shared" si="0"/>
        <v>13600</v>
      </c>
    </row>
    <row r="16" spans="1:15" ht="15" thickBot="1" x14ac:dyDescent="0.35">
      <c r="A16" s="26" t="s">
        <v>24</v>
      </c>
      <c r="B16" s="27" t="s">
        <v>25</v>
      </c>
      <c r="C16" s="36">
        <f>'Expence-1'!E16</f>
        <v>0</v>
      </c>
      <c r="D16" s="36">
        <f>'Expence-2'!E16</f>
        <v>0</v>
      </c>
      <c r="E16" s="36">
        <f>'Expence-3'!E16</f>
        <v>0</v>
      </c>
      <c r="F16" s="36">
        <f>'Expence-4'!E16</f>
        <v>0</v>
      </c>
      <c r="G16" s="36">
        <f>'Expence-5'!E16</f>
        <v>5200</v>
      </c>
      <c r="H16" s="36">
        <f>'Expence-6'!E16</f>
        <v>0</v>
      </c>
      <c r="I16" s="36">
        <f>'Expence-7'!E16</f>
        <v>0</v>
      </c>
      <c r="J16" s="34">
        <f t="shared" si="0"/>
        <v>5200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'Expence-1'!E17</f>
        <v>0</v>
      </c>
      <c r="D17" s="36">
        <f>'Expence-2'!E17</f>
        <v>0</v>
      </c>
      <c r="E17" s="36">
        <f>'Expence-3'!E17</f>
        <v>0</v>
      </c>
      <c r="F17" s="36">
        <f>'Expence-4'!E17</f>
        <v>0</v>
      </c>
      <c r="G17" s="36">
        <f>'Expence-5'!E17</f>
        <v>0</v>
      </c>
      <c r="H17" s="36">
        <f>'Expence-6'!E17</f>
        <v>0</v>
      </c>
      <c r="I17" s="36">
        <f>'Expence-7'!E17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'Expence-1'!E18</f>
        <v>0</v>
      </c>
      <c r="D18" s="36">
        <f>'Expence-2'!E18</f>
        <v>0</v>
      </c>
      <c r="E18" s="36">
        <f>'Expence-3'!E18</f>
        <v>0</v>
      </c>
      <c r="F18" s="36">
        <f>'Expence-4'!E18</f>
        <v>0</v>
      </c>
      <c r="G18" s="36">
        <f>'Expence-5'!E18</f>
        <v>5200</v>
      </c>
      <c r="H18" s="36">
        <f>'Expence-6'!E18</f>
        <v>0</v>
      </c>
      <c r="I18" s="36">
        <f>'Expence-7'!E18</f>
        <v>0</v>
      </c>
      <c r="J18" s="34">
        <f t="shared" si="0"/>
        <v>5200</v>
      </c>
    </row>
    <row r="19" spans="1:10" ht="15" thickBot="1" x14ac:dyDescent="0.35">
      <c r="A19" s="26" t="s">
        <v>30</v>
      </c>
      <c r="B19" s="27" t="s">
        <v>31</v>
      </c>
      <c r="C19" s="36">
        <f>'Expence-1'!E19</f>
        <v>11200</v>
      </c>
      <c r="D19" s="36">
        <f>'Expence-2'!E19</f>
        <v>0</v>
      </c>
      <c r="E19" s="36">
        <f>'Expence-3'!E19</f>
        <v>0</v>
      </c>
      <c r="F19" s="36">
        <f>'Expence-4'!E19</f>
        <v>0</v>
      </c>
      <c r="G19" s="36">
        <f>'Expence-5'!E19</f>
        <v>0</v>
      </c>
      <c r="H19" s="36">
        <f>'Expence-6'!E19</f>
        <v>0</v>
      </c>
      <c r="I19" s="36">
        <f>'Expence-7'!E19</f>
        <v>0</v>
      </c>
      <c r="J19" s="34">
        <f t="shared" si="0"/>
        <v>11200</v>
      </c>
    </row>
    <row r="20" spans="1:10" ht="15" thickBot="1" x14ac:dyDescent="0.35">
      <c r="A20" s="26" t="s">
        <v>32</v>
      </c>
      <c r="B20" s="27" t="s">
        <v>33</v>
      </c>
      <c r="C20" s="36">
        <f>'Expence-1'!E20</f>
        <v>0</v>
      </c>
      <c r="D20" s="36">
        <f>'Expence-2'!E20</f>
        <v>0</v>
      </c>
      <c r="E20" s="36">
        <f>'Expence-3'!E20</f>
        <v>0</v>
      </c>
      <c r="F20" s="36">
        <f>'Expence-4'!E20</f>
        <v>0</v>
      </c>
      <c r="G20" s="36">
        <f>'Expence-5'!E20</f>
        <v>4000</v>
      </c>
      <c r="H20" s="36">
        <f>'Expence-6'!E20</f>
        <v>0</v>
      </c>
      <c r="I20" s="36">
        <f>'Expence-7'!E20</f>
        <v>0</v>
      </c>
      <c r="J20" s="34">
        <f t="shared" si="0"/>
        <v>4000</v>
      </c>
    </row>
    <row r="21" spans="1:10" ht="15" thickBot="1" x14ac:dyDescent="0.35">
      <c r="A21" s="26" t="s">
        <v>34</v>
      </c>
      <c r="B21" s="27" t="s">
        <v>35</v>
      </c>
      <c r="C21" s="36">
        <f>'Expence-1'!E21</f>
        <v>0</v>
      </c>
      <c r="D21" s="36">
        <f>'Expence-2'!E21</f>
        <v>0</v>
      </c>
      <c r="E21" s="36">
        <f>'Expence-3'!E21</f>
        <v>0</v>
      </c>
      <c r="F21" s="36">
        <f>'Expence-4'!E21</f>
        <v>0</v>
      </c>
      <c r="G21" s="36">
        <f>'Expence-5'!E21</f>
        <v>8700</v>
      </c>
      <c r="H21" s="36">
        <f>'Expence-6'!E21</f>
        <v>0</v>
      </c>
      <c r="I21" s="36">
        <f>'Expence-7'!E21</f>
        <v>0</v>
      </c>
      <c r="J21" s="34">
        <f t="shared" si="0"/>
        <v>8700</v>
      </c>
    </row>
    <row r="22" spans="1:10" ht="15" thickBot="1" x14ac:dyDescent="0.35">
      <c r="A22" s="26" t="s">
        <v>66</v>
      </c>
      <c r="B22" s="27" t="s">
        <v>91</v>
      </c>
      <c r="C22" s="36">
        <f>'Expence-1'!E22</f>
        <v>0</v>
      </c>
      <c r="D22" s="36">
        <f>'Expence-2'!E22</f>
        <v>0</v>
      </c>
      <c r="E22" s="36">
        <f>'Expence-3'!E22</f>
        <v>0</v>
      </c>
      <c r="F22" s="36">
        <f>'Expence-4'!E22</f>
        <v>0</v>
      </c>
      <c r="G22" s="36">
        <f>'Expence-5'!E22</f>
        <v>0</v>
      </c>
      <c r="H22" s="36">
        <f>'Expence-6'!E22</f>
        <v>0</v>
      </c>
      <c r="I22" s="36">
        <f>'Expence-7'!E22</f>
        <v>0</v>
      </c>
      <c r="J22" s="34">
        <f t="shared" si="0"/>
        <v>0</v>
      </c>
    </row>
    <row r="23" spans="1:10" ht="15" thickBot="1" x14ac:dyDescent="0.35">
      <c r="A23" s="26" t="s">
        <v>68</v>
      </c>
      <c r="B23" s="27" t="s">
        <v>92</v>
      </c>
      <c r="C23" s="36">
        <f>'Expence-1'!E23</f>
        <v>0</v>
      </c>
      <c r="D23" s="36">
        <f>'Expence-2'!E23</f>
        <v>0</v>
      </c>
      <c r="E23" s="36">
        <f>'Expence-3'!E23</f>
        <v>0</v>
      </c>
      <c r="F23" s="36">
        <f>'Expence-4'!E23</f>
        <v>0</v>
      </c>
      <c r="G23" s="36">
        <f>'Expence-5'!E23</f>
        <v>0</v>
      </c>
      <c r="H23" s="36">
        <f>'Expence-6'!E23</f>
        <v>0</v>
      </c>
      <c r="I23" s="36">
        <f>'Expence-7'!E23</f>
        <v>0</v>
      </c>
      <c r="J23" s="34">
        <f t="shared" si="0"/>
        <v>0</v>
      </c>
    </row>
    <row r="24" spans="1:10" ht="15" thickBot="1" x14ac:dyDescent="0.35">
      <c r="A24" s="26" t="s">
        <v>70</v>
      </c>
      <c r="B24" s="27" t="s">
        <v>94</v>
      </c>
      <c r="C24" s="36">
        <f>'Expence-1'!E24</f>
        <v>0</v>
      </c>
      <c r="D24" s="36">
        <f>'Expence-2'!E24</f>
        <v>0</v>
      </c>
      <c r="E24" s="36">
        <f>'Expence-3'!E24</f>
        <v>0</v>
      </c>
      <c r="F24" s="36">
        <f>'Expence-4'!E24</f>
        <v>0</v>
      </c>
      <c r="G24" s="36">
        <f>'Expence-5'!E24</f>
        <v>4700</v>
      </c>
      <c r="H24" s="36">
        <f>'Expence-6'!E24</f>
        <v>0</v>
      </c>
      <c r="I24" s="36">
        <f>'Expence-7'!E24</f>
        <v>0</v>
      </c>
      <c r="J24" s="34">
        <f t="shared" si="0"/>
        <v>4700</v>
      </c>
    </row>
    <row r="25" spans="1:10" ht="15" thickBot="1" x14ac:dyDescent="0.35">
      <c r="A25" s="26" t="s">
        <v>72</v>
      </c>
      <c r="B25" s="27" t="s">
        <v>93</v>
      </c>
      <c r="C25" s="36">
        <f>'Expence-1'!E25</f>
        <v>0</v>
      </c>
      <c r="D25" s="36">
        <f>'Expence-2'!E25</f>
        <v>0</v>
      </c>
      <c r="E25" s="36">
        <f>'Expence-3'!E25</f>
        <v>0</v>
      </c>
      <c r="F25" s="36">
        <f>'Expence-4'!E25</f>
        <v>0</v>
      </c>
      <c r="G25" s="36">
        <f>'Expence-5'!E25</f>
        <v>2400</v>
      </c>
      <c r="H25" s="36">
        <f>'Expence-6'!E25</f>
        <v>0</v>
      </c>
      <c r="I25" s="36">
        <f>'Expence-7'!E25</f>
        <v>0</v>
      </c>
      <c r="J25" s="34">
        <f t="shared" si="0"/>
        <v>2400</v>
      </c>
    </row>
    <row r="26" spans="1:10" ht="15" thickBot="1" x14ac:dyDescent="0.35">
      <c r="A26" s="29"/>
      <c r="B26" s="27"/>
      <c r="C26" s="36">
        <f>'Expence-1'!E26</f>
        <v>0</v>
      </c>
      <c r="D26" s="36">
        <f>'Expence-2'!E26</f>
        <v>0</v>
      </c>
      <c r="E26" s="36">
        <f>'Expence-3'!E26</f>
        <v>0</v>
      </c>
      <c r="F26" s="36">
        <f>'Expence-4'!E26</f>
        <v>0</v>
      </c>
      <c r="G26" s="36">
        <f>'Expence-5'!E26</f>
        <v>0</v>
      </c>
      <c r="H26" s="36">
        <f>'Expence-6'!E26</f>
        <v>0</v>
      </c>
      <c r="I26" s="36">
        <f>'Expence-7'!E26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'Expence-1'!E27</f>
        <v>0</v>
      </c>
      <c r="D27" s="36">
        <f>'Expence-2'!E27</f>
        <v>0</v>
      </c>
      <c r="E27" s="36">
        <f>'Expence-3'!E27</f>
        <v>0</v>
      </c>
      <c r="F27" s="36">
        <f>'Expence-4'!E27</f>
        <v>0</v>
      </c>
      <c r="G27" s="36">
        <f>'Expence-5'!E27</f>
        <v>0</v>
      </c>
      <c r="H27" s="36">
        <f>'Expence-6'!E27</f>
        <v>0</v>
      </c>
      <c r="I27" s="36">
        <f>'Expence-7'!E27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'Expence-1'!E28</f>
        <v>5000</v>
      </c>
      <c r="D28" s="36">
        <f>'Expence-2'!E28</f>
        <v>0</v>
      </c>
      <c r="E28" s="36">
        <f>'Expence-3'!E28</f>
        <v>2000</v>
      </c>
      <c r="F28" s="36">
        <f>'Expence-4'!E28</f>
        <v>0</v>
      </c>
      <c r="G28" s="36">
        <f>'Expence-5'!E28</f>
        <v>2500</v>
      </c>
      <c r="H28" s="36">
        <f>'Expence-6'!E28</f>
        <v>0</v>
      </c>
      <c r="I28" s="36">
        <f>'Expence-7'!E28</f>
        <v>1600</v>
      </c>
      <c r="J28" s="34">
        <f t="shared" si="0"/>
        <v>11100</v>
      </c>
    </row>
    <row r="29" spans="1:10" ht="15" thickBot="1" x14ac:dyDescent="0.35">
      <c r="A29" s="26" t="s">
        <v>8</v>
      </c>
      <c r="B29" s="27" t="s">
        <v>38</v>
      </c>
      <c r="C29" s="36">
        <f>'Expence-1'!E29</f>
        <v>0</v>
      </c>
      <c r="D29" s="36">
        <f>'Expence-2'!E29</f>
        <v>0</v>
      </c>
      <c r="E29" s="36">
        <f>'Expence-3'!E29</f>
        <v>0</v>
      </c>
      <c r="F29" s="36">
        <f>'Expence-4'!E29</f>
        <v>0</v>
      </c>
      <c r="G29" s="36">
        <f>'Expence-5'!E29</f>
        <v>0</v>
      </c>
      <c r="H29" s="36">
        <f>'Expence-6'!E29</f>
        <v>0</v>
      </c>
      <c r="I29" s="36">
        <f>'Expence-7'!E29</f>
        <v>0</v>
      </c>
      <c r="J29" s="34">
        <f t="shared" si="0"/>
        <v>0</v>
      </c>
    </row>
    <row r="30" spans="1:10" ht="15" thickBot="1" x14ac:dyDescent="0.35">
      <c r="A30" s="26" t="s">
        <v>10</v>
      </c>
      <c r="B30" s="27" t="s">
        <v>39</v>
      </c>
      <c r="C30" s="36">
        <f>'Expence-1'!E30</f>
        <v>0</v>
      </c>
      <c r="D30" s="36">
        <f>'Expence-2'!E30</f>
        <v>0</v>
      </c>
      <c r="E30" s="36">
        <f>'Expence-3'!E30</f>
        <v>0</v>
      </c>
      <c r="F30" s="36">
        <f>'Expence-4'!E30</f>
        <v>0</v>
      </c>
      <c r="G30" s="36">
        <f>'Expence-5'!E30</f>
        <v>0</v>
      </c>
      <c r="H30" s="36">
        <f>'Expence-6'!E30</f>
        <v>0</v>
      </c>
      <c r="I30" s="36">
        <f>'Expence-7'!E30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'Expence-1'!E31</f>
        <v>0</v>
      </c>
      <c r="D31" s="36">
        <f>'Expence-2'!E31</f>
        <v>0</v>
      </c>
      <c r="E31" s="36">
        <f>'Expence-3'!E31</f>
        <v>0</v>
      </c>
      <c r="F31" s="36">
        <f>'Expence-4'!E31</f>
        <v>0</v>
      </c>
      <c r="G31" s="36">
        <f>'Expence-5'!E31</f>
        <v>0</v>
      </c>
      <c r="H31" s="36">
        <f>'Expence-6'!E31</f>
        <v>0</v>
      </c>
      <c r="I31" s="36">
        <f>'Expence-7'!E31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'Expence-1'!E32</f>
        <v>0</v>
      </c>
      <c r="D32" s="36">
        <f>'Expence-2'!E32</f>
        <v>0</v>
      </c>
      <c r="E32" s="36">
        <f>'Expence-3'!E32</f>
        <v>0</v>
      </c>
      <c r="F32" s="36">
        <f>'Expence-4'!E32</f>
        <v>0</v>
      </c>
      <c r="G32" s="36">
        <f>'Expence-5'!E32</f>
        <v>0</v>
      </c>
      <c r="H32" s="36">
        <f>'Expence-6'!E32</f>
        <v>0</v>
      </c>
      <c r="I32" s="36">
        <f>'Expence-7'!E32</f>
        <v>0</v>
      </c>
      <c r="J32" s="34">
        <f t="shared" si="0"/>
        <v>0</v>
      </c>
    </row>
    <row r="33" spans="1:18" ht="15" thickBot="1" x14ac:dyDescent="0.35">
      <c r="A33" s="26" t="s">
        <v>22</v>
      </c>
      <c r="B33" s="27" t="s">
        <v>42</v>
      </c>
      <c r="C33" s="36">
        <f>'Expence-1'!E33</f>
        <v>0</v>
      </c>
      <c r="D33" s="36">
        <f>'Expence-2'!E33</f>
        <v>0</v>
      </c>
      <c r="E33" s="36">
        <f>'Expence-3'!E33</f>
        <v>0</v>
      </c>
      <c r="F33" s="36">
        <f>'Expence-4'!E33</f>
        <v>0</v>
      </c>
      <c r="G33" s="36">
        <f>'Expence-5'!E33</f>
        <v>0</v>
      </c>
      <c r="H33" s="36">
        <f>'Expence-6'!E33</f>
        <v>0</v>
      </c>
      <c r="I33" s="36">
        <f>'Expence-7'!E33</f>
        <v>0</v>
      </c>
      <c r="J33" s="34">
        <f t="shared" si="0"/>
        <v>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'Expence-1'!E34</f>
        <v>0</v>
      </c>
      <c r="D34" s="36">
        <f>'Expence-2'!E34</f>
        <v>0</v>
      </c>
      <c r="E34" s="36">
        <f>'Expence-3'!E34</f>
        <v>0</v>
      </c>
      <c r="F34" s="36">
        <f>'Expence-4'!E34</f>
        <v>0</v>
      </c>
      <c r="G34" s="36">
        <f>'Expence-5'!E34</f>
        <v>0</v>
      </c>
      <c r="H34" s="36">
        <f>'Expence-6'!E34</f>
        <v>0</v>
      </c>
      <c r="I34" s="36">
        <f>'Expence-7'!E34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'Expence-1'!E35</f>
        <v>0</v>
      </c>
      <c r="D35" s="36">
        <f>'Expence-2'!E35</f>
        <v>0</v>
      </c>
      <c r="E35" s="36">
        <f>'Expence-3'!E35</f>
        <v>0</v>
      </c>
      <c r="F35" s="36">
        <f>'Expence-4'!E35</f>
        <v>0</v>
      </c>
      <c r="G35" s="36">
        <f>'Expence-5'!E35</f>
        <v>0</v>
      </c>
      <c r="H35" s="36">
        <f>'Expence-6'!E35</f>
        <v>0</v>
      </c>
      <c r="I35" s="36">
        <f>'Expence-7'!E35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'Expence-1'!E36</f>
        <v>0</v>
      </c>
      <c r="D36" s="36">
        <f>'Expence-2'!E36</f>
        <v>0</v>
      </c>
      <c r="E36" s="36">
        <f>'Expence-3'!E36</f>
        <v>0</v>
      </c>
      <c r="F36" s="36">
        <f>'Expence-4'!E36</f>
        <v>0</v>
      </c>
      <c r="G36" s="36">
        <f>'Expence-5'!E36</f>
        <v>0</v>
      </c>
      <c r="H36" s="36">
        <f>'Expence-6'!E36</f>
        <v>0</v>
      </c>
      <c r="I36" s="36">
        <f>'Expence-7'!E36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'Expence-1'!E37</f>
        <v>0</v>
      </c>
      <c r="D37" s="36">
        <f>'Expence-2'!E37</f>
        <v>0</v>
      </c>
      <c r="E37" s="36">
        <f>'Expence-3'!E37</f>
        <v>0</v>
      </c>
      <c r="F37" s="36">
        <f>'Expence-4'!E37</f>
        <v>0</v>
      </c>
      <c r="G37" s="36">
        <f>'Expence-5'!E37</f>
        <v>0</v>
      </c>
      <c r="H37" s="36">
        <f>'Expence-6'!E37</f>
        <v>0</v>
      </c>
      <c r="I37" s="36">
        <f>'Expence-7'!E37</f>
        <v>0</v>
      </c>
      <c r="J37" s="34">
        <f t="shared" si="0"/>
        <v>0</v>
      </c>
      <c r="O37" s="32"/>
      <c r="R37"/>
    </row>
    <row r="38" spans="1:18" ht="15" thickBot="1" x14ac:dyDescent="0.35">
      <c r="A38" s="11" t="s">
        <v>32</v>
      </c>
      <c r="B38" s="50" t="s">
        <v>95</v>
      </c>
      <c r="C38" s="36">
        <f>'Expence-1'!E38</f>
        <v>0</v>
      </c>
      <c r="D38" s="36">
        <f>'Expence-2'!E38</f>
        <v>0</v>
      </c>
      <c r="E38" s="36">
        <f>'Expence-3'!E38</f>
        <v>0</v>
      </c>
      <c r="F38" s="36">
        <f>'Expence-4'!E38</f>
        <v>0</v>
      </c>
      <c r="G38" s="36">
        <f>'Expence-5'!E38</f>
        <v>0</v>
      </c>
      <c r="H38" s="36">
        <f>'Expence-6'!E38</f>
        <v>0</v>
      </c>
      <c r="I38" s="36">
        <f>'Expence-7'!E38</f>
        <v>0</v>
      </c>
      <c r="J38" s="34">
        <f t="shared" si="0"/>
        <v>0</v>
      </c>
      <c r="O38" s="32"/>
      <c r="R38"/>
    </row>
    <row r="39" spans="1:18" ht="15" thickBot="1" x14ac:dyDescent="0.35">
      <c r="A39" s="27"/>
      <c r="B39" s="27"/>
      <c r="C39" s="36">
        <f>'Expence-1'!E39</f>
        <v>0</v>
      </c>
      <c r="D39" s="36">
        <f>'Expence-2'!E39</f>
        <v>0</v>
      </c>
      <c r="E39" s="36">
        <f>'Expence-3'!E39</f>
        <v>0</v>
      </c>
      <c r="F39" s="36">
        <f>'Expence-4'!E39</f>
        <v>0</v>
      </c>
      <c r="G39" s="36">
        <f>'Expence-5'!E39</f>
        <v>0</v>
      </c>
      <c r="H39" s="36">
        <f>'Expence-6'!E39</f>
        <v>0</v>
      </c>
      <c r="I39" s="36">
        <f>'Expence-7'!E39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'Expence-1'!E40</f>
        <v>0</v>
      </c>
      <c r="D40" s="36">
        <f>'Expence-2'!E40</f>
        <v>0</v>
      </c>
      <c r="E40" s="36">
        <f>'Expence-3'!E40</f>
        <v>0</v>
      </c>
      <c r="F40" s="36">
        <f>'Expence-4'!E40</f>
        <v>0</v>
      </c>
      <c r="G40" s="36">
        <f>'Expence-5'!E40</f>
        <v>0</v>
      </c>
      <c r="H40" s="36">
        <f>'Expence-6'!E40</f>
        <v>0</v>
      </c>
      <c r="I40" s="36">
        <f>'Expence-7'!E40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'Expence-1'!E41</f>
        <v>0</v>
      </c>
      <c r="D41" s="36">
        <f>'Expence-2'!E41</f>
        <v>0</v>
      </c>
      <c r="E41" s="36">
        <f>'Expence-3'!E41</f>
        <v>0</v>
      </c>
      <c r="F41" s="36">
        <f>'Expence-4'!E41</f>
        <v>0</v>
      </c>
      <c r="G41" s="36">
        <f>'Expence-5'!E41</f>
        <v>0</v>
      </c>
      <c r="H41" s="36">
        <f>'Expence-6'!E41</f>
        <v>0</v>
      </c>
      <c r="I41" s="36">
        <f>'Expence-7'!E41</f>
        <v>0</v>
      </c>
      <c r="J41" s="34">
        <f t="shared" si="0"/>
        <v>0</v>
      </c>
      <c r="R41"/>
    </row>
    <row r="42" spans="1:18" ht="15" thickBot="1" x14ac:dyDescent="0.35">
      <c r="A42" s="26" t="s">
        <v>8</v>
      </c>
      <c r="B42" s="27" t="s">
        <v>46</v>
      </c>
      <c r="C42" s="36">
        <f>'Expence-1'!E42</f>
        <v>0</v>
      </c>
      <c r="D42" s="36">
        <f>'Expence-2'!E42</f>
        <v>0</v>
      </c>
      <c r="E42" s="36">
        <f>'Expence-3'!E42</f>
        <v>0</v>
      </c>
      <c r="F42" s="36">
        <f>'Expence-4'!E42</f>
        <v>0</v>
      </c>
      <c r="G42" s="36">
        <f>'Expence-5'!E42</f>
        <v>0</v>
      </c>
      <c r="H42" s="36">
        <f>'Expence-6'!E42</f>
        <v>0</v>
      </c>
      <c r="I42" s="36">
        <f>'Expence-7'!E42</f>
        <v>0</v>
      </c>
      <c r="J42" s="34">
        <f t="shared" si="0"/>
        <v>0</v>
      </c>
      <c r="R42"/>
    </row>
    <row r="43" spans="1:18" ht="15" thickBot="1" x14ac:dyDescent="0.35">
      <c r="A43" s="26" t="s">
        <v>10</v>
      </c>
      <c r="B43" s="27" t="s">
        <v>47</v>
      </c>
      <c r="C43" s="36">
        <f>'Expence-1'!E43</f>
        <v>0</v>
      </c>
      <c r="D43" s="36">
        <f>'Expence-2'!E43</f>
        <v>0</v>
      </c>
      <c r="E43" s="36">
        <f>'Expence-3'!E43</f>
        <v>0</v>
      </c>
      <c r="F43" s="36">
        <f>'Expence-4'!E43</f>
        <v>0</v>
      </c>
      <c r="G43" s="36">
        <f>'Expence-5'!E43</f>
        <v>0</v>
      </c>
      <c r="H43" s="36">
        <f>'Expence-6'!E43</f>
        <v>0</v>
      </c>
      <c r="I43" s="36">
        <f>'Expence-7'!E43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'Expence-1'!E44</f>
        <v>0</v>
      </c>
      <c r="D44" s="36">
        <f>'Expence-2'!E44</f>
        <v>0</v>
      </c>
      <c r="E44" s="36">
        <f>'Expence-3'!E44</f>
        <v>0</v>
      </c>
      <c r="F44" s="36">
        <f>'Expence-4'!E44</f>
        <v>0</v>
      </c>
      <c r="G44" s="36">
        <f>'Expence-5'!E44</f>
        <v>0</v>
      </c>
      <c r="H44" s="36">
        <f>'Expence-6'!E44</f>
        <v>0</v>
      </c>
      <c r="I44" s="36">
        <f>'Expence-7'!E44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'Expence-1'!E45</f>
        <v>0</v>
      </c>
      <c r="D45" s="36">
        <f>'Expence-2'!E45</f>
        <v>0</v>
      </c>
      <c r="E45" s="36">
        <f>'Expence-3'!E45</f>
        <v>0</v>
      </c>
      <c r="F45" s="36">
        <f>'Expence-4'!E45</f>
        <v>0</v>
      </c>
      <c r="G45" s="36">
        <f>'Expence-5'!E45</f>
        <v>0</v>
      </c>
      <c r="H45" s="36">
        <f>'Expence-6'!E45</f>
        <v>0</v>
      </c>
      <c r="I45" s="36">
        <f>'Expence-7'!E45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'Expence-1'!E46</f>
        <v>0</v>
      </c>
      <c r="D46" s="36">
        <f>'Expence-2'!E46</f>
        <v>0</v>
      </c>
      <c r="E46" s="36">
        <f>'Expence-3'!E46</f>
        <v>0</v>
      </c>
      <c r="F46" s="36">
        <f>'Expence-4'!E46</f>
        <v>0</v>
      </c>
      <c r="G46" s="36">
        <f>'Expence-5'!E46</f>
        <v>0</v>
      </c>
      <c r="H46" s="36">
        <f>'Expence-6'!E46</f>
        <v>0</v>
      </c>
      <c r="I46" s="36">
        <f>'Expence-7'!E46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'Expence-1'!E47</f>
        <v>0</v>
      </c>
      <c r="D47" s="36">
        <f>'Expence-2'!E47</f>
        <v>0</v>
      </c>
      <c r="E47" s="36">
        <f>'Expence-3'!E47</f>
        <v>0</v>
      </c>
      <c r="F47" s="36">
        <f>'Expence-4'!E47</f>
        <v>0</v>
      </c>
      <c r="G47" s="36">
        <f>'Expence-5'!E47</f>
        <v>0</v>
      </c>
      <c r="H47" s="36">
        <f>'Expence-6'!E47</f>
        <v>0</v>
      </c>
      <c r="I47" s="36">
        <f>'Expence-7'!E47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'Expence-1'!E48</f>
        <v>0</v>
      </c>
      <c r="D48" s="36">
        <f>'Expence-2'!E48</f>
        <v>0</v>
      </c>
      <c r="E48" s="36">
        <f>'Expence-3'!E48</f>
        <v>0</v>
      </c>
      <c r="F48" s="36">
        <f>'Expence-4'!E48</f>
        <v>0</v>
      </c>
      <c r="G48" s="36">
        <f>'Expence-5'!E48</f>
        <v>0</v>
      </c>
      <c r="H48" s="36">
        <f>'Expence-6'!E48</f>
        <v>0</v>
      </c>
      <c r="I48" s="36">
        <f>'Expence-7'!E48</f>
        <v>0</v>
      </c>
      <c r="J48" s="34">
        <f t="shared" si="0"/>
        <v>0</v>
      </c>
      <c r="R48"/>
    </row>
    <row r="49" spans="1:18" ht="15" thickBot="1" x14ac:dyDescent="0.35">
      <c r="A49" s="26" t="s">
        <v>8</v>
      </c>
      <c r="B49" s="27" t="s">
        <v>52</v>
      </c>
      <c r="C49" s="36">
        <f>'Expence-1'!E49</f>
        <v>0</v>
      </c>
      <c r="D49" s="36">
        <f>'Expence-2'!E49</f>
        <v>0</v>
      </c>
      <c r="E49" s="36">
        <f>'Expence-3'!E49</f>
        <v>0</v>
      </c>
      <c r="F49" s="36">
        <f>'Expence-4'!E49</f>
        <v>0</v>
      </c>
      <c r="G49" s="36">
        <f>'Expence-5'!E49</f>
        <v>0</v>
      </c>
      <c r="H49" s="36">
        <f>'Expence-6'!E49</f>
        <v>0</v>
      </c>
      <c r="I49" s="36">
        <f>'Expence-7'!E49</f>
        <v>0</v>
      </c>
      <c r="J49" s="34">
        <f t="shared" si="0"/>
        <v>0</v>
      </c>
      <c r="R49"/>
    </row>
    <row r="50" spans="1:18" ht="15" thickBot="1" x14ac:dyDescent="0.35">
      <c r="A50" s="29"/>
      <c r="B50" s="27"/>
      <c r="C50" s="36">
        <f>'Expence-1'!E50</f>
        <v>0</v>
      </c>
      <c r="D50" s="36">
        <f>'Expence-2'!E50</f>
        <v>0</v>
      </c>
      <c r="E50" s="36">
        <f>'Expence-3'!E50</f>
        <v>0</v>
      </c>
      <c r="F50" s="36">
        <f>'Expence-4'!E50</f>
        <v>0</v>
      </c>
      <c r="G50" s="36">
        <f>'Expence-5'!E50</f>
        <v>0</v>
      </c>
      <c r="H50" s="36">
        <f>'Expence-6'!E50</f>
        <v>0</v>
      </c>
      <c r="I50" s="36">
        <f>'Expence-7'!E50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'Expence-1'!E51</f>
        <v>0</v>
      </c>
      <c r="D51" s="36">
        <f>'Expence-2'!E51</f>
        <v>0</v>
      </c>
      <c r="E51" s="36">
        <f>'Expence-3'!E51</f>
        <v>0</v>
      </c>
      <c r="F51" s="36">
        <f>'Expence-4'!E51</f>
        <v>0</v>
      </c>
      <c r="G51" s="36">
        <f>'Expence-5'!E51</f>
        <v>0</v>
      </c>
      <c r="H51" s="36">
        <f>'Expence-6'!E51</f>
        <v>0</v>
      </c>
      <c r="I51" s="36">
        <f>'Expence-7'!E51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'Expence-1'!E52</f>
        <v>5300</v>
      </c>
      <c r="D52" s="36">
        <f>'Expence-2'!E52</f>
        <v>2500</v>
      </c>
      <c r="E52" s="36">
        <f>'Expence-3'!E52</f>
        <v>2500</v>
      </c>
      <c r="F52" s="36">
        <f>'Expence-4'!E52</f>
        <v>2500</v>
      </c>
      <c r="G52" s="36">
        <f>'Expence-5'!E52</f>
        <v>2800</v>
      </c>
      <c r="H52" s="36">
        <f>'Expence-6'!E52</f>
        <v>5300</v>
      </c>
      <c r="I52" s="36">
        <f>'Expence-7'!E52</f>
        <v>2500</v>
      </c>
      <c r="J52" s="34">
        <f t="shared" si="0"/>
        <v>23400</v>
      </c>
      <c r="R52"/>
    </row>
    <row r="53" spans="1:18" ht="15" thickBot="1" x14ac:dyDescent="0.35">
      <c r="A53" s="26" t="s">
        <v>8</v>
      </c>
      <c r="B53" s="27" t="s">
        <v>55</v>
      </c>
      <c r="C53" s="36">
        <f>'Expence-1'!E53</f>
        <v>0</v>
      </c>
      <c r="D53" s="36">
        <f>'Expence-2'!E53</f>
        <v>0</v>
      </c>
      <c r="E53" s="36">
        <f>'Expence-3'!E53</f>
        <v>0</v>
      </c>
      <c r="F53" s="36">
        <f>'Expence-4'!E53</f>
        <v>0</v>
      </c>
      <c r="G53" s="36">
        <f>'Expence-5'!E53</f>
        <v>0</v>
      </c>
      <c r="H53" s="36">
        <f>'Expence-6'!E53</f>
        <v>0</v>
      </c>
      <c r="I53" s="36">
        <f>'Expence-7'!E53</f>
        <v>0</v>
      </c>
      <c r="J53" s="34">
        <f t="shared" si="0"/>
        <v>0</v>
      </c>
      <c r="R53"/>
    </row>
    <row r="54" spans="1:18" ht="15" thickBot="1" x14ac:dyDescent="0.35">
      <c r="A54" s="26" t="s">
        <v>10</v>
      </c>
      <c r="B54" s="27" t="s">
        <v>56</v>
      </c>
      <c r="C54" s="36">
        <f>'Expence-1'!E54</f>
        <v>0</v>
      </c>
      <c r="D54" s="36">
        <f>'Expence-2'!E54</f>
        <v>0</v>
      </c>
      <c r="E54" s="36">
        <f>'Expence-3'!E54</f>
        <v>0</v>
      </c>
      <c r="F54" s="36">
        <f>'Expence-4'!E54</f>
        <v>0</v>
      </c>
      <c r="G54" s="36">
        <f>'Expence-5'!E54</f>
        <v>3250</v>
      </c>
      <c r="H54" s="36">
        <f>'Expence-6'!E54</f>
        <v>0</v>
      </c>
      <c r="I54" s="36">
        <f>'Expence-7'!E54</f>
        <v>0</v>
      </c>
      <c r="J54" s="34">
        <f t="shared" si="0"/>
        <v>3250</v>
      </c>
      <c r="R54"/>
    </row>
    <row r="55" spans="1:18" ht="15" thickBot="1" x14ac:dyDescent="0.35">
      <c r="A55" s="26" t="s">
        <v>12</v>
      </c>
      <c r="B55" s="27" t="s">
        <v>57</v>
      </c>
      <c r="C55" s="36">
        <f>'Expence-1'!E55</f>
        <v>0</v>
      </c>
      <c r="D55" s="36">
        <f>'Expence-2'!E55</f>
        <v>0</v>
      </c>
      <c r="E55" s="36">
        <f>'Expence-3'!E55</f>
        <v>0</v>
      </c>
      <c r="F55" s="36">
        <f>'Expence-4'!E55</f>
        <v>0</v>
      </c>
      <c r="G55" s="36">
        <f>'Expence-5'!E55</f>
        <v>0</v>
      </c>
      <c r="H55" s="36">
        <f>'Expence-6'!E55</f>
        <v>0</v>
      </c>
      <c r="I55" s="36">
        <f>'Expence-7'!E55</f>
        <v>0</v>
      </c>
      <c r="J55" s="34">
        <f t="shared" si="0"/>
        <v>0</v>
      </c>
      <c r="R55"/>
    </row>
    <row r="56" spans="1:18" ht="15" thickBot="1" x14ac:dyDescent="0.35">
      <c r="A56" s="26" t="s">
        <v>14</v>
      </c>
      <c r="B56" s="27" t="s">
        <v>58</v>
      </c>
      <c r="C56" s="36">
        <f>'Expence-1'!E56</f>
        <v>0</v>
      </c>
      <c r="D56" s="36">
        <f>'Expence-2'!E56</f>
        <v>0</v>
      </c>
      <c r="E56" s="36">
        <f>'Expence-3'!E56</f>
        <v>0</v>
      </c>
      <c r="F56" s="36">
        <f>'Expence-4'!E56</f>
        <v>0</v>
      </c>
      <c r="G56" s="36">
        <f>'Expence-5'!E56</f>
        <v>0</v>
      </c>
      <c r="H56" s="36">
        <f>'Expence-6'!E56</f>
        <v>0</v>
      </c>
      <c r="I56" s="36">
        <f>'Expence-7'!E56</f>
        <v>0</v>
      </c>
      <c r="J56" s="34">
        <f t="shared" si="0"/>
        <v>0</v>
      </c>
      <c r="R56"/>
    </row>
    <row r="57" spans="1:18" ht="15" thickBot="1" x14ac:dyDescent="0.35">
      <c r="A57" s="26" t="s">
        <v>22</v>
      </c>
      <c r="B57" s="27" t="s">
        <v>59</v>
      </c>
      <c r="C57" s="36">
        <f>'Expence-1'!E57</f>
        <v>0</v>
      </c>
      <c r="D57" s="36">
        <f>'Expence-2'!E57</f>
        <v>0</v>
      </c>
      <c r="E57" s="36">
        <f>'Expence-3'!E57</f>
        <v>0</v>
      </c>
      <c r="F57" s="36">
        <f>'Expence-4'!E57</f>
        <v>0</v>
      </c>
      <c r="G57" s="36">
        <f>'Expence-5'!E57</f>
        <v>0</v>
      </c>
      <c r="H57" s="36">
        <f>'Expence-6'!E57</f>
        <v>0</v>
      </c>
      <c r="I57" s="36">
        <f>'Expence-7'!E57</f>
        <v>0</v>
      </c>
      <c r="J57" s="34">
        <f t="shared" si="0"/>
        <v>0</v>
      </c>
      <c r="R57"/>
    </row>
    <row r="58" spans="1:18" ht="15" thickBot="1" x14ac:dyDescent="0.35">
      <c r="A58" s="26" t="s">
        <v>24</v>
      </c>
      <c r="B58" s="27" t="s">
        <v>60</v>
      </c>
      <c r="C58" s="36">
        <f>'Expence-1'!E58</f>
        <v>0</v>
      </c>
      <c r="D58" s="36">
        <f>'Expence-2'!E58</f>
        <v>0</v>
      </c>
      <c r="E58" s="36">
        <f>'Expence-3'!E58</f>
        <v>0</v>
      </c>
      <c r="F58" s="36">
        <f>'Expence-4'!E58</f>
        <v>0</v>
      </c>
      <c r="G58" s="36">
        <f>'Expence-5'!E58</f>
        <v>0</v>
      </c>
      <c r="H58" s="36">
        <f>'Expence-6'!E58</f>
        <v>0</v>
      </c>
      <c r="I58" s="36">
        <f>'Expence-7'!E58</f>
        <v>0</v>
      </c>
      <c r="J58" s="34">
        <f t="shared" si="0"/>
        <v>0</v>
      </c>
      <c r="R58"/>
    </row>
    <row r="59" spans="1:18" ht="15" thickBot="1" x14ac:dyDescent="0.35">
      <c r="A59" s="26" t="s">
        <v>26</v>
      </c>
      <c r="B59" s="27" t="s">
        <v>61</v>
      </c>
      <c r="C59" s="36">
        <f>'Expence-1'!E59</f>
        <v>0</v>
      </c>
      <c r="D59" s="36">
        <f>'Expence-2'!E59</f>
        <v>0</v>
      </c>
      <c r="E59" s="36">
        <f>'Expence-3'!E59</f>
        <v>0</v>
      </c>
      <c r="F59" s="36">
        <f>'Expence-4'!E59</f>
        <v>0</v>
      </c>
      <c r="G59" s="36">
        <f>'Expence-5'!E59</f>
        <v>0</v>
      </c>
      <c r="H59" s="36">
        <f>'Expence-6'!E59</f>
        <v>0</v>
      </c>
      <c r="I59" s="36">
        <f>'Expence-7'!E59</f>
        <v>0</v>
      </c>
      <c r="J59" s="34">
        <f t="shared" si="0"/>
        <v>0</v>
      </c>
      <c r="R59"/>
    </row>
    <row r="60" spans="1:18" ht="15" thickBot="1" x14ac:dyDescent="0.35">
      <c r="A60" s="26" t="s">
        <v>28</v>
      </c>
      <c r="B60" s="27" t="s">
        <v>62</v>
      </c>
      <c r="C60" s="36">
        <f>'Expence-1'!E60</f>
        <v>0</v>
      </c>
      <c r="D60" s="36">
        <f>'Expence-2'!E60</f>
        <v>0</v>
      </c>
      <c r="E60" s="36">
        <f>'Expence-3'!E60</f>
        <v>0</v>
      </c>
      <c r="F60" s="36">
        <f>'Expence-4'!E60</f>
        <v>0</v>
      </c>
      <c r="G60" s="36">
        <f>'Expence-5'!E60</f>
        <v>0</v>
      </c>
      <c r="H60" s="36">
        <f>'Expence-6'!E60</f>
        <v>0</v>
      </c>
      <c r="I60" s="36">
        <f>'Expence-7'!E60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'Expence-1'!E61</f>
        <v>0</v>
      </c>
      <c r="D61" s="36">
        <f>'Expence-2'!E61</f>
        <v>0</v>
      </c>
      <c r="E61" s="36">
        <f>'Expence-3'!E61</f>
        <v>0</v>
      </c>
      <c r="F61" s="36">
        <f>'Expence-4'!E61</f>
        <v>0</v>
      </c>
      <c r="G61" s="36">
        <f>'Expence-5'!E61</f>
        <v>6000</v>
      </c>
      <c r="H61" s="36">
        <f>'Expence-6'!E61</f>
        <v>0</v>
      </c>
      <c r="I61" s="36">
        <f>'Expence-7'!E61</f>
        <v>0</v>
      </c>
      <c r="J61" s="34">
        <f t="shared" si="0"/>
        <v>6000</v>
      </c>
      <c r="R61"/>
    </row>
    <row r="62" spans="1:18" ht="15" thickBot="1" x14ac:dyDescent="0.35">
      <c r="A62" s="26" t="s">
        <v>32</v>
      </c>
      <c r="B62" s="27" t="s">
        <v>64</v>
      </c>
      <c r="C62" s="36">
        <f>'Expence-1'!E62</f>
        <v>0</v>
      </c>
      <c r="D62" s="36">
        <f>'Expence-2'!E62</f>
        <v>0</v>
      </c>
      <c r="E62" s="36">
        <f>'Expence-3'!E62</f>
        <v>0</v>
      </c>
      <c r="F62" s="36">
        <f>'Expence-4'!E62</f>
        <v>0</v>
      </c>
      <c r="G62" s="36">
        <f>'Expence-5'!E62</f>
        <v>0</v>
      </c>
      <c r="H62" s="36">
        <f>'Expence-6'!E62</f>
        <v>0</v>
      </c>
      <c r="I62" s="36">
        <f>'Expence-7'!E62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'Expence-1'!E63</f>
        <v>0</v>
      </c>
      <c r="D63" s="36">
        <f>'Expence-2'!E63</f>
        <v>0</v>
      </c>
      <c r="E63" s="36">
        <f>'Expence-3'!E63</f>
        <v>0</v>
      </c>
      <c r="F63" s="36">
        <f>'Expence-4'!E63</f>
        <v>0</v>
      </c>
      <c r="G63" s="36">
        <f>'Expence-5'!E63</f>
        <v>0</v>
      </c>
      <c r="H63" s="36">
        <f>'Expence-6'!E63</f>
        <v>0</v>
      </c>
      <c r="I63" s="36">
        <f>'Expence-7'!E63</f>
        <v>0</v>
      </c>
      <c r="J63" s="34">
        <f t="shared" si="0"/>
        <v>0</v>
      </c>
      <c r="R63"/>
    </row>
    <row r="64" spans="1:18" ht="15" thickBot="1" x14ac:dyDescent="0.35">
      <c r="A64" s="26" t="s">
        <v>66</v>
      </c>
      <c r="B64" s="27" t="s">
        <v>67</v>
      </c>
      <c r="C64" s="36">
        <f>'Expence-1'!E64</f>
        <v>0</v>
      </c>
      <c r="D64" s="36">
        <f>'Expence-2'!E64</f>
        <v>0</v>
      </c>
      <c r="E64" s="36">
        <f>'Expence-3'!E64</f>
        <v>0</v>
      </c>
      <c r="F64" s="36">
        <f>'Expence-4'!E64</f>
        <v>0</v>
      </c>
      <c r="G64" s="36">
        <f>'Expence-5'!E64</f>
        <v>0</v>
      </c>
      <c r="H64" s="36">
        <f>'Expence-6'!E64</f>
        <v>0</v>
      </c>
      <c r="I64" s="36">
        <f>'Expence-7'!E64</f>
        <v>0</v>
      </c>
      <c r="J64" s="34">
        <f t="shared" si="0"/>
        <v>0</v>
      </c>
      <c r="R64"/>
    </row>
    <row r="65" spans="1:18" ht="15" thickBot="1" x14ac:dyDescent="0.35">
      <c r="A65" s="26" t="s">
        <v>68</v>
      </c>
      <c r="B65" s="27" t="s">
        <v>69</v>
      </c>
      <c r="C65" s="36">
        <f>'Expence-1'!E65</f>
        <v>0</v>
      </c>
      <c r="D65" s="36">
        <f>'Expence-2'!E65</f>
        <v>0</v>
      </c>
      <c r="E65" s="36">
        <f>'Expence-3'!E65</f>
        <v>0</v>
      </c>
      <c r="F65" s="36">
        <f>'Expence-4'!E65</f>
        <v>0</v>
      </c>
      <c r="G65" s="36">
        <f>'Expence-5'!E65</f>
        <v>0</v>
      </c>
      <c r="H65" s="36">
        <f>'Expence-6'!E65</f>
        <v>0</v>
      </c>
      <c r="I65" s="36">
        <f>'Expence-7'!E65</f>
        <v>0</v>
      </c>
      <c r="J65" s="34">
        <f t="shared" si="0"/>
        <v>0</v>
      </c>
      <c r="R65"/>
    </row>
    <row r="66" spans="1:18" ht="15" thickBot="1" x14ac:dyDescent="0.35">
      <c r="A66" s="26" t="s">
        <v>70</v>
      </c>
      <c r="B66" s="27" t="s">
        <v>71</v>
      </c>
      <c r="C66" s="36">
        <f>'Expence-1'!E66</f>
        <v>0</v>
      </c>
      <c r="D66" s="36">
        <f>'Expence-2'!E66</f>
        <v>0</v>
      </c>
      <c r="E66" s="36">
        <f>'Expence-3'!E66</f>
        <v>0</v>
      </c>
      <c r="F66" s="36">
        <f>'Expence-4'!E66</f>
        <v>0</v>
      </c>
      <c r="G66" s="36">
        <f>'Expence-5'!E66</f>
        <v>0</v>
      </c>
      <c r="H66" s="36">
        <f>'Expence-6'!E66</f>
        <v>0</v>
      </c>
      <c r="I66" s="36">
        <f>'Expence-7'!E66</f>
        <v>0</v>
      </c>
      <c r="J66" s="34">
        <f t="shared" si="0"/>
        <v>0</v>
      </c>
      <c r="R66"/>
    </row>
    <row r="67" spans="1:18" ht="15" thickBot="1" x14ac:dyDescent="0.35">
      <c r="A67" s="26" t="s">
        <v>72</v>
      </c>
      <c r="B67" s="27" t="s">
        <v>73</v>
      </c>
      <c r="C67" s="36">
        <f>'Expence-1'!E67</f>
        <v>0</v>
      </c>
      <c r="D67" s="36">
        <f>'Expence-2'!E67</f>
        <v>0</v>
      </c>
      <c r="E67" s="36">
        <f>'Expence-3'!E67</f>
        <v>0</v>
      </c>
      <c r="F67" s="36">
        <f>'Expence-4'!E67</f>
        <v>0</v>
      </c>
      <c r="G67" s="36">
        <f>'Expence-5'!E67</f>
        <v>0</v>
      </c>
      <c r="H67" s="36">
        <f>'Expence-6'!E67</f>
        <v>0</v>
      </c>
      <c r="I67" s="36">
        <f>'Expence-7'!E67</f>
        <v>0</v>
      </c>
      <c r="J67" s="34">
        <f t="shared" si="0"/>
        <v>0</v>
      </c>
      <c r="R67"/>
    </row>
    <row r="68" spans="1:18" ht="15" thickBot="1" x14ac:dyDescent="0.35">
      <c r="A68" s="26" t="s">
        <v>74</v>
      </c>
      <c r="B68" s="27" t="s">
        <v>75</v>
      </c>
      <c r="C68" s="36">
        <f>'Expence-1'!E68</f>
        <v>0</v>
      </c>
      <c r="D68" s="36">
        <f>'Expence-2'!E68</f>
        <v>0</v>
      </c>
      <c r="E68" s="36">
        <f>'Expence-3'!E68</f>
        <v>0</v>
      </c>
      <c r="F68" s="36">
        <f>'Expence-4'!E68</f>
        <v>0</v>
      </c>
      <c r="G68" s="36">
        <f>'Expence-5'!E68</f>
        <v>0</v>
      </c>
      <c r="H68" s="36">
        <f>'Expence-6'!E68</f>
        <v>0</v>
      </c>
      <c r="I68" s="36">
        <f>'Expence-7'!E68</f>
        <v>0</v>
      </c>
      <c r="J68" s="34">
        <f t="shared" ref="J68:J84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'Expence-1'!E69</f>
        <v>0</v>
      </c>
      <c r="D69" s="36">
        <f>'Expence-2'!E69</f>
        <v>0</v>
      </c>
      <c r="E69" s="36">
        <f>'Expence-3'!E69</f>
        <v>0</v>
      </c>
      <c r="F69" s="36">
        <f>'Expence-4'!E69</f>
        <v>0</v>
      </c>
      <c r="G69" s="36">
        <f>'Expence-5'!E69</f>
        <v>0</v>
      </c>
      <c r="H69" s="36">
        <f>'Expence-6'!E69</f>
        <v>0</v>
      </c>
      <c r="I69" s="36">
        <f>'Expence-7'!E69</f>
        <v>0</v>
      </c>
      <c r="J69" s="34">
        <f t="shared" si="1"/>
        <v>0</v>
      </c>
      <c r="R69"/>
    </row>
    <row r="70" spans="1:18" ht="15" thickBot="1" x14ac:dyDescent="0.35">
      <c r="A70" s="11" t="s">
        <v>85</v>
      </c>
      <c r="B70" s="14" t="s">
        <v>86</v>
      </c>
      <c r="C70" s="36">
        <f>'Expence-1'!E70</f>
        <v>0</v>
      </c>
      <c r="D70" s="36">
        <f>'Expence-2'!E70</f>
        <v>0</v>
      </c>
      <c r="E70" s="36">
        <f>'Expence-3'!E70</f>
        <v>0</v>
      </c>
      <c r="F70" s="36">
        <f>'Expence-4'!E70</f>
        <v>0</v>
      </c>
      <c r="G70" s="36">
        <f>'Expence-5'!E70</f>
        <v>0</v>
      </c>
      <c r="H70" s="36">
        <f>'Expence-6'!E70</f>
        <v>0</v>
      </c>
      <c r="I70" s="36">
        <f>'Expence-7'!E70</f>
        <v>0</v>
      </c>
      <c r="J70" s="34">
        <f t="shared" si="1"/>
        <v>0</v>
      </c>
      <c r="R70"/>
    </row>
    <row r="71" spans="1:18" ht="15" thickBot="1" x14ac:dyDescent="0.35">
      <c r="A71" s="11" t="s">
        <v>87</v>
      </c>
      <c r="B71" s="14" t="s">
        <v>88</v>
      </c>
      <c r="C71" s="36">
        <f>'Expence-1'!E71</f>
        <v>0</v>
      </c>
      <c r="D71" s="36">
        <f>'Expence-2'!E71</f>
        <v>0</v>
      </c>
      <c r="E71" s="36">
        <f>'Expence-3'!E71</f>
        <v>0</v>
      </c>
      <c r="F71" s="36">
        <f>'Expence-4'!E71</f>
        <v>0</v>
      </c>
      <c r="G71" s="36">
        <f>'Expence-5'!E71</f>
        <v>0</v>
      </c>
      <c r="H71" s="36">
        <f>'Expence-6'!E71</f>
        <v>0</v>
      </c>
      <c r="I71" s="36">
        <f>'Expence-7'!E71</f>
        <v>0</v>
      </c>
      <c r="J71" s="34">
        <f t="shared" si="1"/>
        <v>0</v>
      </c>
      <c r="R71"/>
    </row>
    <row r="72" spans="1:18" ht="15" thickBot="1" x14ac:dyDescent="0.35">
      <c r="A72" s="27"/>
      <c r="B72" s="27"/>
      <c r="C72" s="36">
        <f>'Expence-1'!E72</f>
        <v>0</v>
      </c>
      <c r="D72" s="36">
        <f>'Expence-2'!E72</f>
        <v>0</v>
      </c>
      <c r="E72" s="36">
        <f>'Expence-3'!E72</f>
        <v>0</v>
      </c>
      <c r="F72" s="36">
        <f>'Expence-4'!E72</f>
        <v>0</v>
      </c>
      <c r="G72" s="36">
        <f>'Expence-5'!E72</f>
        <v>0</v>
      </c>
      <c r="H72" s="36">
        <f>'Expence-6'!E72</f>
        <v>0</v>
      </c>
      <c r="I72" s="36">
        <f>'Expence-7'!E72</f>
        <v>0</v>
      </c>
      <c r="J72" s="34">
        <f t="shared" si="1"/>
        <v>0</v>
      </c>
      <c r="R72"/>
    </row>
    <row r="73" spans="1:18" ht="15" thickBot="1" x14ac:dyDescent="0.35">
      <c r="A73" s="31">
        <v>7</v>
      </c>
      <c r="B73" s="22" t="s">
        <v>76</v>
      </c>
      <c r="C73" s="36">
        <f>'Expence-1'!E73</f>
        <v>0</v>
      </c>
      <c r="D73" s="36">
        <f>'Expence-2'!E73</f>
        <v>0</v>
      </c>
      <c r="E73" s="36">
        <f>'Expence-3'!E73</f>
        <v>0</v>
      </c>
      <c r="F73" s="36">
        <f>'Expence-4'!E73</f>
        <v>0</v>
      </c>
      <c r="G73" s="36">
        <f>'Expence-5'!E73</f>
        <v>0</v>
      </c>
      <c r="H73" s="36">
        <f>'Expence-6'!E73</f>
        <v>0</v>
      </c>
      <c r="I73" s="36">
        <f>'Expence-7'!E73</f>
        <v>0</v>
      </c>
      <c r="J73" s="34">
        <f t="shared" si="1"/>
        <v>0</v>
      </c>
      <c r="R73"/>
    </row>
    <row r="74" spans="1:18" ht="15" thickBot="1" x14ac:dyDescent="0.35">
      <c r="A74" s="26" t="s">
        <v>6</v>
      </c>
      <c r="B74" s="27" t="s">
        <v>77</v>
      </c>
      <c r="C74" s="36">
        <f>'Expence-1'!E74</f>
        <v>0</v>
      </c>
      <c r="D74" s="36">
        <f>'Expence-2'!E74</f>
        <v>0</v>
      </c>
      <c r="E74" s="36">
        <f>'Expence-3'!E74</f>
        <v>0</v>
      </c>
      <c r="F74" s="36">
        <f>'Expence-4'!E74</f>
        <v>0</v>
      </c>
      <c r="G74" s="36">
        <f>'Expence-5'!E74</f>
        <v>0</v>
      </c>
      <c r="H74" s="36">
        <f>'Expence-6'!E74</f>
        <v>0</v>
      </c>
      <c r="I74" s="36">
        <f>'Expence-7'!E74</f>
        <v>0</v>
      </c>
      <c r="J74" s="34">
        <f t="shared" si="1"/>
        <v>0</v>
      </c>
      <c r="R74"/>
    </row>
    <row r="75" spans="1:18" ht="15" thickBot="1" x14ac:dyDescent="0.35">
      <c r="A75" s="26" t="s">
        <v>8</v>
      </c>
      <c r="B75" s="27" t="s">
        <v>78</v>
      </c>
      <c r="C75" s="36">
        <f>'Expence-1'!E75</f>
        <v>0</v>
      </c>
      <c r="D75" s="36">
        <f>'Expence-2'!E75</f>
        <v>0</v>
      </c>
      <c r="E75" s="36">
        <f>'Expence-3'!E75</f>
        <v>0</v>
      </c>
      <c r="F75" s="36">
        <f>'Expence-4'!E75</f>
        <v>0</v>
      </c>
      <c r="G75" s="36">
        <f>'Expence-5'!E75</f>
        <v>0</v>
      </c>
      <c r="H75" s="36">
        <f>'Expence-6'!E75</f>
        <v>0</v>
      </c>
      <c r="I75" s="36">
        <f>'Expence-7'!E75</f>
        <v>0</v>
      </c>
      <c r="J75" s="34">
        <f t="shared" si="1"/>
        <v>0</v>
      </c>
      <c r="R75"/>
    </row>
    <row r="76" spans="1:18" ht="15" thickBot="1" x14ac:dyDescent="0.35">
      <c r="A76" s="36"/>
      <c r="B76" s="36"/>
      <c r="C76" s="36">
        <f>'Expence-1'!E76</f>
        <v>0</v>
      </c>
      <c r="D76" s="36">
        <f>'Expence-2'!E76</f>
        <v>0</v>
      </c>
      <c r="E76" s="36">
        <f>'Expence-3'!E76</f>
        <v>0</v>
      </c>
      <c r="F76" s="36">
        <f>'Expence-4'!E76</f>
        <v>0</v>
      </c>
      <c r="G76" s="36">
        <f>'Expence-5'!E76</f>
        <v>0</v>
      </c>
      <c r="H76" s="36">
        <f>'Expence-6'!E76</f>
        <v>0</v>
      </c>
      <c r="I76" s="36">
        <f>'Expence-7'!E76</f>
        <v>0</v>
      </c>
      <c r="J76" s="34">
        <f t="shared" si="1"/>
        <v>0</v>
      </c>
      <c r="R76"/>
    </row>
    <row r="77" spans="1:18" ht="15" thickBot="1" x14ac:dyDescent="0.35">
      <c r="A77" s="31">
        <v>8</v>
      </c>
      <c r="B77" s="22" t="s">
        <v>96</v>
      </c>
      <c r="C77" s="36">
        <f>'Expence-1'!E77</f>
        <v>0</v>
      </c>
      <c r="D77" s="36">
        <f>'Expence-2'!E77</f>
        <v>0</v>
      </c>
      <c r="E77" s="36">
        <f>'Expence-3'!E77</f>
        <v>0</v>
      </c>
      <c r="F77" s="36">
        <f>'Expence-4'!E77</f>
        <v>0</v>
      </c>
      <c r="G77" s="36">
        <f>'Expence-5'!E77</f>
        <v>0</v>
      </c>
      <c r="H77" s="36">
        <f>'Expence-6'!E77</f>
        <v>0</v>
      </c>
      <c r="I77" s="36">
        <f>'Expence-7'!E77</f>
        <v>0</v>
      </c>
      <c r="J77" s="34">
        <f t="shared" si="1"/>
        <v>0</v>
      </c>
      <c r="R77"/>
    </row>
    <row r="78" spans="1:18" ht="15" thickBot="1" x14ac:dyDescent="0.35">
      <c r="A78" s="48" t="s">
        <v>6</v>
      </c>
      <c r="B78" s="14" t="s">
        <v>97</v>
      </c>
      <c r="C78" s="36">
        <f>'Expence-1'!E78</f>
        <v>0</v>
      </c>
      <c r="D78" s="36">
        <f>'Expence-2'!E78</f>
        <v>0</v>
      </c>
      <c r="E78" s="36">
        <f>'Expence-3'!E78</f>
        <v>0</v>
      </c>
      <c r="F78" s="36">
        <f>'Expence-4'!E78</f>
        <v>0</v>
      </c>
      <c r="G78" s="36">
        <f>'Expence-5'!E78</f>
        <v>0</v>
      </c>
      <c r="H78" s="36">
        <f>'Expence-6'!E78</f>
        <v>0</v>
      </c>
      <c r="I78" s="36">
        <f>'Expence-7'!E78</f>
        <v>0</v>
      </c>
      <c r="J78" s="34">
        <f t="shared" si="1"/>
        <v>0</v>
      </c>
      <c r="R78"/>
    </row>
    <row r="79" spans="1:18" ht="15" thickBot="1" x14ac:dyDescent="0.35">
      <c r="A79" s="11" t="s">
        <v>8</v>
      </c>
      <c r="B79" s="14" t="s">
        <v>99</v>
      </c>
      <c r="C79" s="36">
        <f>'Expence-1'!E79</f>
        <v>1000</v>
      </c>
      <c r="D79" s="36">
        <f>'Expence-2'!E79</f>
        <v>0</v>
      </c>
      <c r="E79" s="36">
        <f>'Expence-3'!E79</f>
        <v>0</v>
      </c>
      <c r="F79" s="36">
        <f>'Expence-4'!E79</f>
        <v>0</v>
      </c>
      <c r="G79" s="36">
        <f>'Expence-5'!E79</f>
        <v>0</v>
      </c>
      <c r="H79" s="36">
        <f>'Expence-6'!E79</f>
        <v>0</v>
      </c>
      <c r="I79" s="36">
        <f>'Expence-7'!E79</f>
        <v>0</v>
      </c>
      <c r="J79" s="34">
        <f t="shared" si="1"/>
        <v>1000</v>
      </c>
      <c r="R79"/>
    </row>
    <row r="80" spans="1:18" ht="15" thickBot="1" x14ac:dyDescent="0.35">
      <c r="A80" s="11" t="s">
        <v>10</v>
      </c>
      <c r="B80" s="14" t="s">
        <v>100</v>
      </c>
      <c r="C80" s="36">
        <f>'Expence-1'!E80</f>
        <v>500</v>
      </c>
      <c r="D80" s="36">
        <f>'Expence-2'!E80</f>
        <v>0</v>
      </c>
      <c r="E80" s="36">
        <f>'Expence-3'!E80</f>
        <v>0</v>
      </c>
      <c r="F80" s="36">
        <f>'Expence-4'!E80</f>
        <v>0</v>
      </c>
      <c r="G80" s="36">
        <f>'Expence-5'!E80</f>
        <v>0</v>
      </c>
      <c r="H80" s="36">
        <f>'Expence-6'!E80</f>
        <v>0</v>
      </c>
      <c r="I80" s="36">
        <f>'Expence-7'!E80</f>
        <v>0</v>
      </c>
      <c r="J80" s="34">
        <f t="shared" si="1"/>
        <v>500</v>
      </c>
      <c r="R80"/>
    </row>
    <row r="81" spans="1:18" ht="15" thickBot="1" x14ac:dyDescent="0.35">
      <c r="A81" s="11" t="s">
        <v>12</v>
      </c>
      <c r="B81" s="14" t="s">
        <v>101</v>
      </c>
      <c r="C81" s="36">
        <f>'Expence-1'!E81</f>
        <v>2000</v>
      </c>
      <c r="D81" s="36">
        <f>'Expence-2'!E81</f>
        <v>0</v>
      </c>
      <c r="E81" s="36">
        <f>'Expence-3'!E81</f>
        <v>0</v>
      </c>
      <c r="F81" s="36">
        <f>'Expence-4'!E81</f>
        <v>0</v>
      </c>
      <c r="G81" s="36">
        <f>'Expence-5'!E81</f>
        <v>0</v>
      </c>
      <c r="H81" s="36">
        <f>'Expence-6'!E81</f>
        <v>0</v>
      </c>
      <c r="I81" s="36">
        <f>'Expence-7'!E81</f>
        <v>0</v>
      </c>
      <c r="J81" s="34">
        <f t="shared" si="1"/>
        <v>2000</v>
      </c>
      <c r="R81"/>
    </row>
    <row r="82" spans="1:18" ht="15" thickBot="1" x14ac:dyDescent="0.35">
      <c r="A82" s="11" t="s">
        <v>14</v>
      </c>
      <c r="B82" s="14" t="s">
        <v>104</v>
      </c>
      <c r="C82" s="36">
        <f>'Expence-1'!E82</f>
        <v>4000</v>
      </c>
      <c r="D82" s="36">
        <f>'Expence-2'!E82</f>
        <v>0</v>
      </c>
      <c r="E82" s="36">
        <f>'Expence-3'!E82</f>
        <v>0</v>
      </c>
      <c r="F82" s="36">
        <f>'Expence-4'!E82</f>
        <v>0</v>
      </c>
      <c r="G82" s="36">
        <f>'Expence-5'!E82</f>
        <v>0</v>
      </c>
      <c r="H82" s="36">
        <f>'Expence-6'!E82</f>
        <v>0</v>
      </c>
      <c r="I82" s="36">
        <f>'Expence-7'!E82</f>
        <v>0</v>
      </c>
      <c r="J82" s="34">
        <f t="shared" si="1"/>
        <v>4000</v>
      </c>
      <c r="R82"/>
    </row>
    <row r="83" spans="1:18" ht="15" thickBot="1" x14ac:dyDescent="0.35">
      <c r="A83" s="11" t="s">
        <v>22</v>
      </c>
      <c r="B83" s="14" t="s">
        <v>102</v>
      </c>
      <c r="C83" s="36">
        <f>'Expence-1'!E83</f>
        <v>0</v>
      </c>
      <c r="D83" s="36">
        <f>'Expence-2'!E83</f>
        <v>0</v>
      </c>
      <c r="E83" s="36">
        <f>'Expence-3'!E83</f>
        <v>1700</v>
      </c>
      <c r="F83" s="36">
        <f>'Expence-4'!E83</f>
        <v>0</v>
      </c>
      <c r="G83" s="36">
        <f>'Expence-5'!E83</f>
        <v>0</v>
      </c>
      <c r="H83" s="36">
        <f>'Expence-6'!E83</f>
        <v>0</v>
      </c>
      <c r="I83" s="36">
        <f>'Expence-7'!E83</f>
        <v>0</v>
      </c>
      <c r="J83" s="34">
        <f t="shared" si="1"/>
        <v>1700</v>
      </c>
      <c r="R83"/>
    </row>
    <row r="84" spans="1:18" ht="15" thickBot="1" x14ac:dyDescent="0.35">
      <c r="A84" s="11" t="s">
        <v>24</v>
      </c>
      <c r="B84" s="14" t="s">
        <v>103</v>
      </c>
      <c r="C84" s="36">
        <f>'Expence-1'!E84</f>
        <v>0</v>
      </c>
      <c r="D84" s="36">
        <f>'Expence-2'!E84</f>
        <v>0</v>
      </c>
      <c r="E84" s="36">
        <f>'Expence-3'!E84</f>
        <v>0</v>
      </c>
      <c r="F84" s="36">
        <f>'Expence-4'!E84</f>
        <v>0</v>
      </c>
      <c r="G84" s="36">
        <f>'Expence-5'!E84</f>
        <v>1200</v>
      </c>
      <c r="H84" s="36">
        <f>'Expence-6'!E84</f>
        <v>0</v>
      </c>
      <c r="I84" s="36">
        <f>'Expence-7'!E84</f>
        <v>0</v>
      </c>
      <c r="J84" s="34">
        <f t="shared" si="1"/>
        <v>1200</v>
      </c>
      <c r="R84"/>
    </row>
    <row r="85" spans="1:18" ht="15" thickBot="1" x14ac:dyDescent="0.35">
      <c r="A85" s="49"/>
      <c r="B85" s="49"/>
      <c r="C85" s="49"/>
      <c r="D85" s="49"/>
      <c r="E85" s="49"/>
      <c r="F85" s="49"/>
      <c r="G85" s="49"/>
      <c r="H85" s="49"/>
      <c r="I85" s="49"/>
      <c r="J85" s="34"/>
      <c r="R85"/>
    </row>
    <row r="86" spans="1:18" ht="15" thickBot="1" x14ac:dyDescent="0.35">
      <c r="G86" s="37"/>
      <c r="H86" s="37"/>
      <c r="I86"/>
      <c r="J86" s="34"/>
      <c r="R86"/>
    </row>
    <row r="87" spans="1:18" x14ac:dyDescent="0.3">
      <c r="I87" s="37"/>
      <c r="R87"/>
    </row>
    <row r="88" spans="1:18" s="40" customFormat="1" ht="15.6" x14ac:dyDescent="0.3">
      <c r="B88" s="40" t="s">
        <v>80</v>
      </c>
      <c r="C88" s="41">
        <f>SUM(C3:C87)</f>
        <v>75800</v>
      </c>
      <c r="D88" s="41">
        <f t="shared" ref="D88:I88" si="2">SUM(D3:D87)</f>
        <v>2500</v>
      </c>
      <c r="E88" s="41">
        <f t="shared" si="2"/>
        <v>6200</v>
      </c>
      <c r="F88" s="41">
        <f t="shared" si="2"/>
        <v>2500</v>
      </c>
      <c r="G88" s="41">
        <f t="shared" si="2"/>
        <v>112850</v>
      </c>
      <c r="H88" s="41">
        <f t="shared" si="2"/>
        <v>5300</v>
      </c>
      <c r="I88" s="41">
        <f t="shared" si="2"/>
        <v>4100</v>
      </c>
      <c r="J88" s="42">
        <f>SUM(J2:J87)</f>
        <v>209250</v>
      </c>
    </row>
  </sheetData>
  <pageMargins left="0.7" right="0.7" top="0.75" bottom="0.75" header="0.3" footer="0.3"/>
  <pageSetup scale="56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90"/>
  <sheetViews>
    <sheetView topLeftCell="A68" workbookViewId="0">
      <selection activeCell="B52" sqref="B5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51">
        <v>600</v>
      </c>
      <c r="D3"/>
      <c r="E3" s="13">
        <f t="shared" ref="E3:E75" si="0">D3*C3</f>
        <v>0</v>
      </c>
      <c r="J3" s="32"/>
    </row>
    <row r="4" spans="1:10" x14ac:dyDescent="0.3">
      <c r="A4" s="11" t="s">
        <v>8</v>
      </c>
      <c r="B4" t="s">
        <v>9</v>
      </c>
      <c r="C4" s="12">
        <v>416.66666666666669</v>
      </c>
      <c r="D4">
        <v>36</v>
      </c>
      <c r="E4" s="13">
        <f t="shared" si="0"/>
        <v>15000</v>
      </c>
    </row>
    <row r="5" spans="1:10" x14ac:dyDescent="0.3">
      <c r="A5" s="11" t="s">
        <v>10</v>
      </c>
      <c r="B5" t="s">
        <v>11</v>
      </c>
      <c r="C5" s="51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2"/>
    </row>
    <row r="12" spans="1:10" x14ac:dyDescent="0.3">
      <c r="A12" s="11" t="s">
        <v>10</v>
      </c>
      <c r="B12" t="s">
        <v>98</v>
      </c>
      <c r="C12" s="12">
        <v>5000</v>
      </c>
      <c r="D12">
        <v>5</v>
      </c>
      <c r="E12" s="13">
        <f t="shared" si="0"/>
        <v>25000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f>3400/12</f>
        <v>283.33333333333331</v>
      </c>
      <c r="D15">
        <v>24</v>
      </c>
      <c r="E15" s="13">
        <f t="shared" si="0"/>
        <v>6800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233.33333333333334</v>
      </c>
      <c r="D19">
        <v>48</v>
      </c>
      <c r="E19" s="13">
        <f t="shared" si="0"/>
        <v>11200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s="52" t="s">
        <v>37</v>
      </c>
      <c r="C28" s="53">
        <v>100</v>
      </c>
      <c r="D28" s="52">
        <v>50</v>
      </c>
      <c r="E28" s="13">
        <f t="shared" si="0"/>
        <v>5000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26</v>
      </c>
      <c r="B35" t="s">
        <v>43</v>
      </c>
      <c r="C35" s="12"/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D43"/>
      <c r="E43" s="13">
        <f t="shared" si="0"/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 t="shared" si="0"/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si="0"/>
        <v>0</v>
      </c>
    </row>
    <row r="46" spans="1:10" x14ac:dyDescent="0.3">
      <c r="C46" s="12"/>
      <c r="D46"/>
      <c r="E46" s="13">
        <f t="shared" si="0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0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0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0"/>
        <v>0</v>
      </c>
    </row>
    <row r="50" spans="1:5" x14ac:dyDescent="0.3">
      <c r="A50" s="11"/>
      <c r="C50" s="12"/>
      <c r="D50"/>
      <c r="E50" s="13">
        <f t="shared" si="0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0"/>
        <v>0</v>
      </c>
    </row>
    <row r="52" spans="1:5" x14ac:dyDescent="0.3">
      <c r="A52" s="11" t="s">
        <v>6</v>
      </c>
      <c r="B52" s="14" t="s">
        <v>54</v>
      </c>
      <c r="C52" s="12">
        <v>5300</v>
      </c>
      <c r="D52">
        <v>1</v>
      </c>
      <c r="E52" s="13">
        <f t="shared" si="0"/>
        <v>5300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0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0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0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0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0"/>
        <v>0</v>
      </c>
    </row>
    <row r="58" spans="1:5" x14ac:dyDescent="0.3">
      <c r="A58" s="11" t="s">
        <v>24</v>
      </c>
      <c r="B58" s="14" t="s">
        <v>60</v>
      </c>
      <c r="C58">
        <f>5100/4</f>
        <v>1275</v>
      </c>
      <c r="D58"/>
      <c r="E58" s="13">
        <f t="shared" si="0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0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0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0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0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0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0"/>
        <v>0</v>
      </c>
    </row>
    <row r="66" spans="1:13" x14ac:dyDescent="0.3">
      <c r="A66" s="11" t="s">
        <v>70</v>
      </c>
      <c r="B66" s="14" t="s">
        <v>71</v>
      </c>
      <c r="C66" s="12">
        <v>1500</v>
      </c>
      <c r="D66"/>
      <c r="E66" s="13">
        <f t="shared" si="0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0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0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0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0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0"/>
        <v>0</v>
      </c>
      <c r="M71"/>
    </row>
    <row r="72" spans="1:13" x14ac:dyDescent="0.3">
      <c r="C72" s="12"/>
      <c r="D72"/>
      <c r="E72" s="13">
        <f t="shared" si="0"/>
        <v>0</v>
      </c>
      <c r="M72"/>
    </row>
    <row r="73" spans="1:13" x14ac:dyDescent="0.3">
      <c r="A73" s="15">
        <v>7</v>
      </c>
      <c r="B73" s="7" t="s">
        <v>76</v>
      </c>
      <c r="C73" s="9"/>
      <c r="D73" s="8"/>
      <c r="E73" s="10">
        <f t="shared" si="0"/>
        <v>0</v>
      </c>
      <c r="H73" s="48"/>
      <c r="I73" s="14"/>
      <c r="M73"/>
    </row>
    <row r="74" spans="1:13" x14ac:dyDescent="0.3">
      <c r="A74" s="11" t="s">
        <v>6</v>
      </c>
      <c r="B74" s="14" t="s">
        <v>77</v>
      </c>
      <c r="C74" s="12"/>
      <c r="D74"/>
      <c r="E74" s="13">
        <f t="shared" si="0"/>
        <v>0</v>
      </c>
      <c r="H74" s="11"/>
      <c r="I74" s="14"/>
      <c r="M74"/>
    </row>
    <row r="75" spans="1:13" x14ac:dyDescent="0.3">
      <c r="A75" s="11" t="s">
        <v>8</v>
      </c>
      <c r="B75" s="14" t="s">
        <v>78</v>
      </c>
      <c r="C75" s="12">
        <v>2000</v>
      </c>
      <c r="D75"/>
      <c r="E75" s="13">
        <f t="shared" si="0"/>
        <v>0</v>
      </c>
      <c r="H75" s="11"/>
      <c r="I75" s="14"/>
      <c r="M75"/>
    </row>
    <row r="76" spans="1:13" x14ac:dyDescent="0.3">
      <c r="A76" s="11"/>
      <c r="B76" s="14"/>
      <c r="C76" s="12"/>
      <c r="D76"/>
      <c r="H76" s="11"/>
      <c r="I76" s="14"/>
      <c r="M76"/>
    </row>
    <row r="77" spans="1:13" x14ac:dyDescent="0.3">
      <c r="A77" s="15">
        <v>8</v>
      </c>
      <c r="B77" s="7" t="s">
        <v>96</v>
      </c>
      <c r="C77" s="9"/>
      <c r="D77" s="8"/>
      <c r="E77" s="10">
        <f t="shared" ref="E77:E87" si="1">D77*C77</f>
        <v>0</v>
      </c>
      <c r="H77" s="11"/>
      <c r="I77" s="14"/>
      <c r="M77"/>
    </row>
    <row r="78" spans="1:13" x14ac:dyDescent="0.3">
      <c r="A78" s="48" t="s">
        <v>6</v>
      </c>
      <c r="B78" s="14" t="s">
        <v>97</v>
      </c>
      <c r="C78">
        <v>100</v>
      </c>
      <c r="E78" s="13">
        <f t="shared" si="1"/>
        <v>0</v>
      </c>
      <c r="M78"/>
    </row>
    <row r="79" spans="1:13" x14ac:dyDescent="0.3">
      <c r="A79" s="11" t="s">
        <v>8</v>
      </c>
      <c r="B79" s="14" t="s">
        <v>99</v>
      </c>
      <c r="C79">
        <v>100</v>
      </c>
      <c r="D79" s="12">
        <v>10</v>
      </c>
      <c r="E79" s="13">
        <f t="shared" si="1"/>
        <v>1000</v>
      </c>
      <c r="M79"/>
    </row>
    <row r="80" spans="1:13" x14ac:dyDescent="0.3">
      <c r="A80" s="11" t="s">
        <v>10</v>
      </c>
      <c r="B80" s="14" t="s">
        <v>100</v>
      </c>
      <c r="C80">
        <v>100</v>
      </c>
      <c r="D80" s="12">
        <v>5</v>
      </c>
      <c r="E80" s="13">
        <f t="shared" si="1"/>
        <v>500</v>
      </c>
      <c r="M80"/>
    </row>
    <row r="81" spans="1:13" x14ac:dyDescent="0.3">
      <c r="A81" s="11" t="s">
        <v>12</v>
      </c>
      <c r="B81" s="14" t="s">
        <v>101</v>
      </c>
      <c r="C81">
        <v>2000</v>
      </c>
      <c r="D81" s="12">
        <v>1</v>
      </c>
      <c r="E81" s="13">
        <f t="shared" si="1"/>
        <v>2000</v>
      </c>
      <c r="M81"/>
    </row>
    <row r="82" spans="1:13" x14ac:dyDescent="0.3">
      <c r="A82" s="11" t="s">
        <v>14</v>
      </c>
      <c r="B82" s="14" t="s">
        <v>104</v>
      </c>
      <c r="C82">
        <v>4000</v>
      </c>
      <c r="D82" s="12">
        <v>1</v>
      </c>
      <c r="E82" s="13">
        <f t="shared" si="1"/>
        <v>4000</v>
      </c>
      <c r="M82"/>
    </row>
    <row r="83" spans="1:13" x14ac:dyDescent="0.3">
      <c r="A83" s="11" t="s">
        <v>22</v>
      </c>
      <c r="B83" s="14" t="s">
        <v>102</v>
      </c>
      <c r="C83">
        <v>1700</v>
      </c>
      <c r="E83" s="13">
        <f t="shared" si="1"/>
        <v>0</v>
      </c>
      <c r="M83"/>
    </row>
    <row r="84" spans="1:13" x14ac:dyDescent="0.3">
      <c r="A84" s="11" t="s">
        <v>24</v>
      </c>
      <c r="B84" s="14" t="s">
        <v>103</v>
      </c>
      <c r="C84">
        <v>1200</v>
      </c>
      <c r="E84" s="13">
        <f t="shared" si="1"/>
        <v>0</v>
      </c>
      <c r="M84"/>
    </row>
    <row r="85" spans="1:13" x14ac:dyDescent="0.3">
      <c r="A85" s="11"/>
      <c r="B85" s="14"/>
      <c r="E85" s="13">
        <f t="shared" si="1"/>
        <v>0</v>
      </c>
      <c r="M85"/>
    </row>
    <row r="86" spans="1:13" x14ac:dyDescent="0.3">
      <c r="A86" s="11"/>
      <c r="B86" s="14"/>
      <c r="E86" s="13">
        <f t="shared" si="1"/>
        <v>0</v>
      </c>
      <c r="M86"/>
    </row>
    <row r="87" spans="1:13" x14ac:dyDescent="0.3">
      <c r="A87" s="11"/>
      <c r="B87" s="14"/>
      <c r="E87" s="13">
        <f t="shared" si="1"/>
        <v>0</v>
      </c>
      <c r="M87"/>
    </row>
    <row r="88" spans="1:13" x14ac:dyDescent="0.3">
      <c r="A88" s="11"/>
      <c r="M88"/>
    </row>
    <row r="89" spans="1:13" x14ac:dyDescent="0.3">
      <c r="B89" t="s">
        <v>80</v>
      </c>
      <c r="E89" s="13">
        <f>SUM(E2:E82)</f>
        <v>75800</v>
      </c>
    </row>
    <row r="90" spans="1:13" x14ac:dyDescent="0.3">
      <c r="M9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8"/>
  <sheetViews>
    <sheetView tabSelected="1" topLeftCell="A66" zoomScale="99" workbookViewId="0">
      <selection activeCell="D86" sqref="D86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500</v>
      </c>
      <c r="D3" s="28"/>
      <c r="E3" s="39">
        <f>C3*D3</f>
        <v>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/>
      <c r="E4" s="39">
        <f t="shared" ref="E4:E73" si="0">C4*D4</f>
        <v>0</v>
      </c>
    </row>
    <row r="5" spans="1:10" ht="15" thickBot="1" x14ac:dyDescent="0.35">
      <c r="A5" s="26" t="s">
        <v>10</v>
      </c>
      <c r="B5" s="27" t="s">
        <v>11</v>
      </c>
      <c r="C5" s="28">
        <v>700</v>
      </c>
      <c r="D5" s="27"/>
      <c r="E5" s="39">
        <f t="shared" si="0"/>
        <v>0</v>
      </c>
    </row>
    <row r="6" spans="1:10" ht="15" thickBot="1" x14ac:dyDescent="0.35">
      <c r="A6" s="26" t="s">
        <v>12</v>
      </c>
      <c r="B6" s="27" t="s">
        <v>13</v>
      </c>
      <c r="C6" s="28">
        <v>800</v>
      </c>
      <c r="D6" s="28"/>
      <c r="E6" s="39">
        <f t="shared" si="0"/>
        <v>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9"/>
      <c r="B8" s="27"/>
      <c r="C8" s="27"/>
      <c r="D8" s="27"/>
      <c r="E8" s="39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9">
        <f t="shared" si="0"/>
        <v>0</v>
      </c>
    </row>
    <row r="10" spans="1:10" ht="15" thickBot="1" x14ac:dyDescent="0.35">
      <c r="A10" s="26" t="s">
        <v>6</v>
      </c>
      <c r="B10" s="27" t="s">
        <v>17</v>
      </c>
      <c r="C10" s="28">
        <v>400</v>
      </c>
      <c r="D10" s="27"/>
      <c r="E10" s="39">
        <f t="shared" si="0"/>
        <v>0</v>
      </c>
    </row>
    <row r="11" spans="1:10" ht="15" thickBot="1" x14ac:dyDescent="0.35">
      <c r="A11" s="26" t="s">
        <v>8</v>
      </c>
      <c r="B11" s="27" t="s">
        <v>18</v>
      </c>
      <c r="C11" s="28">
        <v>300</v>
      </c>
      <c r="D11" s="27"/>
      <c r="E11" s="39">
        <f t="shared" si="0"/>
        <v>0</v>
      </c>
      <c r="J11" s="32"/>
    </row>
    <row r="12" spans="1:10" ht="15" thickBot="1" x14ac:dyDescent="0.35">
      <c r="A12" s="26" t="s">
        <v>10</v>
      </c>
      <c r="B12" s="27" t="s">
        <v>19</v>
      </c>
      <c r="C12" s="30">
        <v>1500</v>
      </c>
      <c r="D12" s="27"/>
      <c r="E12" s="39">
        <f t="shared" si="0"/>
        <v>0</v>
      </c>
    </row>
    <row r="13" spans="1:10" ht="15" thickBot="1" x14ac:dyDescent="0.35">
      <c r="A13" s="26" t="s">
        <v>12</v>
      </c>
      <c r="B13" s="27" t="s">
        <v>20</v>
      </c>
      <c r="C13" s="28">
        <v>700</v>
      </c>
      <c r="D13" s="27"/>
      <c r="E13" s="39">
        <f t="shared" si="0"/>
        <v>0</v>
      </c>
    </row>
    <row r="14" spans="1:10" ht="15" thickBot="1" x14ac:dyDescent="0.35">
      <c r="A14" s="26" t="s">
        <v>14</v>
      </c>
      <c r="B14" s="27" t="s">
        <v>21</v>
      </c>
      <c r="C14" s="30">
        <v>1500</v>
      </c>
      <c r="D14" s="27"/>
      <c r="E14" s="39">
        <f t="shared" si="0"/>
        <v>0</v>
      </c>
    </row>
    <row r="15" spans="1:10" ht="15" thickBot="1" x14ac:dyDescent="0.35">
      <c r="A15" s="26" t="s">
        <v>22</v>
      </c>
      <c r="B15" s="27" t="s">
        <v>23</v>
      </c>
      <c r="C15" s="28">
        <v>400</v>
      </c>
      <c r="D15" s="28"/>
      <c r="E15" s="39">
        <f t="shared" si="0"/>
        <v>0</v>
      </c>
    </row>
    <row r="16" spans="1:10" ht="15" thickBot="1" x14ac:dyDescent="0.35">
      <c r="A16" s="26" t="s">
        <v>24</v>
      </c>
      <c r="B16" s="27" t="s">
        <v>25</v>
      </c>
      <c r="C16" s="28">
        <v>300</v>
      </c>
      <c r="D16" s="28"/>
      <c r="E16" s="39">
        <f t="shared" si="0"/>
        <v>0</v>
      </c>
      <c r="J16" s="32"/>
    </row>
    <row r="17" spans="1:5" ht="15" thickBot="1" x14ac:dyDescent="0.35">
      <c r="A17" s="26" t="s">
        <v>26</v>
      </c>
      <c r="B17" s="27" t="s">
        <v>27</v>
      </c>
      <c r="C17" s="28">
        <v>200</v>
      </c>
      <c r="D17" s="27"/>
      <c r="E17" s="39">
        <f t="shared" si="0"/>
        <v>0</v>
      </c>
    </row>
    <row r="18" spans="1:5" ht="15" thickBot="1" x14ac:dyDescent="0.35">
      <c r="A18" s="26" t="s">
        <v>28</v>
      </c>
      <c r="B18" s="27" t="s">
        <v>29</v>
      </c>
      <c r="C18" s="28">
        <v>300</v>
      </c>
      <c r="D18" s="28"/>
      <c r="E18" s="39">
        <f t="shared" si="0"/>
        <v>0</v>
      </c>
    </row>
    <row r="19" spans="1:5" ht="15" thickBot="1" x14ac:dyDescent="0.35">
      <c r="A19" s="26" t="s">
        <v>30</v>
      </c>
      <c r="B19" s="27" t="s">
        <v>31</v>
      </c>
      <c r="C19" s="28">
        <v>400</v>
      </c>
      <c r="D19" s="28"/>
      <c r="E19" s="39">
        <f t="shared" si="0"/>
        <v>0</v>
      </c>
    </row>
    <row r="20" spans="1:5" ht="15" thickBot="1" x14ac:dyDescent="0.35">
      <c r="A20" s="26" t="s">
        <v>32</v>
      </c>
      <c r="B20" s="27" t="s">
        <v>33</v>
      </c>
      <c r="C20" s="28">
        <v>150</v>
      </c>
      <c r="D20" s="28"/>
      <c r="E20" s="39">
        <f t="shared" si="0"/>
        <v>0</v>
      </c>
    </row>
    <row r="21" spans="1:5" ht="15" thickBot="1" x14ac:dyDescent="0.35">
      <c r="A21" s="26" t="s">
        <v>34</v>
      </c>
      <c r="B21" s="27" t="s">
        <v>35</v>
      </c>
      <c r="C21" s="28">
        <v>400</v>
      </c>
      <c r="D21" s="28"/>
      <c r="E21" s="39">
        <f t="shared" si="0"/>
        <v>0</v>
      </c>
    </row>
    <row r="22" spans="1:5" ht="15" thickBot="1" x14ac:dyDescent="0.35">
      <c r="A22" s="26" t="s">
        <v>66</v>
      </c>
      <c r="B22" t="s">
        <v>91</v>
      </c>
      <c r="C22" s="28">
        <v>500</v>
      </c>
      <c r="D22" s="28"/>
      <c r="E22" s="39">
        <f t="shared" si="0"/>
        <v>0</v>
      </c>
    </row>
    <row r="23" spans="1:5" ht="15" thickBot="1" x14ac:dyDescent="0.35">
      <c r="A23" s="26" t="s">
        <v>68</v>
      </c>
      <c r="B23" t="s">
        <v>92</v>
      </c>
      <c r="C23" s="28">
        <v>400</v>
      </c>
      <c r="D23" s="28"/>
      <c r="E23" s="39">
        <f t="shared" si="0"/>
        <v>0</v>
      </c>
    </row>
    <row r="24" spans="1:5" ht="15" thickBot="1" x14ac:dyDescent="0.35">
      <c r="A24" s="26" t="s">
        <v>70</v>
      </c>
      <c r="B24" t="s">
        <v>94</v>
      </c>
      <c r="C24" s="28">
        <v>500</v>
      </c>
      <c r="D24" s="28"/>
      <c r="E24" s="39">
        <f t="shared" si="0"/>
        <v>0</v>
      </c>
    </row>
    <row r="25" spans="1:5" ht="15" thickBot="1" x14ac:dyDescent="0.35">
      <c r="A25" s="26" t="s">
        <v>72</v>
      </c>
      <c r="B25" t="s">
        <v>93</v>
      </c>
      <c r="C25" s="28">
        <v>400</v>
      </c>
      <c r="D25" s="28"/>
      <c r="E25" s="39">
        <f t="shared" si="0"/>
        <v>0</v>
      </c>
    </row>
    <row r="26" spans="1:5" ht="15" thickBot="1" x14ac:dyDescent="0.35">
      <c r="A26" s="29"/>
      <c r="B26" s="27"/>
      <c r="C26" s="27"/>
      <c r="D26" s="27"/>
      <c r="E26" s="39">
        <f t="shared" si="0"/>
        <v>0</v>
      </c>
    </row>
    <row r="27" spans="1:5" ht="15" thickBot="1" x14ac:dyDescent="0.35">
      <c r="A27" s="21">
        <v>3</v>
      </c>
      <c r="B27" s="22" t="s">
        <v>36</v>
      </c>
      <c r="C27" s="23"/>
      <c r="D27" s="23"/>
      <c r="E27" s="39">
        <f t="shared" si="0"/>
        <v>0</v>
      </c>
    </row>
    <row r="28" spans="1:5" ht="15" thickBot="1" x14ac:dyDescent="0.35">
      <c r="A28" s="26" t="s">
        <v>6</v>
      </c>
      <c r="B28" s="27" t="s">
        <v>37</v>
      </c>
      <c r="C28" s="28">
        <v>100</v>
      </c>
      <c r="D28" s="28"/>
      <c r="E28" s="39">
        <f t="shared" si="0"/>
        <v>0</v>
      </c>
    </row>
    <row r="29" spans="1:5" ht="15" thickBot="1" x14ac:dyDescent="0.35">
      <c r="A29" s="26" t="s">
        <v>8</v>
      </c>
      <c r="B29" s="47" t="s">
        <v>38</v>
      </c>
      <c r="C29" s="28">
        <v>200</v>
      </c>
      <c r="D29" s="28"/>
      <c r="E29" s="39">
        <f t="shared" si="0"/>
        <v>0</v>
      </c>
    </row>
    <row r="30" spans="1:5" ht="15" thickBot="1" x14ac:dyDescent="0.35">
      <c r="A30" s="26" t="s">
        <v>10</v>
      </c>
      <c r="B30" s="27" t="s">
        <v>39</v>
      </c>
      <c r="C30" s="27"/>
      <c r="D30" s="27"/>
      <c r="E30" s="39">
        <f t="shared" si="0"/>
        <v>0</v>
      </c>
    </row>
    <row r="31" spans="1:5" ht="15" thickBot="1" x14ac:dyDescent="0.35">
      <c r="A31" s="26" t="s">
        <v>12</v>
      </c>
      <c r="B31" s="27" t="s">
        <v>40</v>
      </c>
      <c r="C31" s="27"/>
      <c r="D31" s="27"/>
      <c r="E31" s="39">
        <f t="shared" si="0"/>
        <v>0</v>
      </c>
    </row>
    <row r="32" spans="1:5" ht="15" thickBot="1" x14ac:dyDescent="0.35">
      <c r="A32" s="26" t="s">
        <v>14</v>
      </c>
      <c r="B32" s="27" t="s">
        <v>41</v>
      </c>
      <c r="C32" s="27">
        <v>9000</v>
      </c>
      <c r="D32" s="27"/>
      <c r="E32" s="39">
        <f t="shared" si="0"/>
        <v>0</v>
      </c>
    </row>
    <row r="33" spans="1:10" ht="15" thickBot="1" x14ac:dyDescent="0.35">
      <c r="A33" s="26" t="s">
        <v>22</v>
      </c>
      <c r="B33" s="27" t="s">
        <v>42</v>
      </c>
      <c r="C33" s="28">
        <v>1</v>
      </c>
      <c r="D33" s="27"/>
      <c r="E33" s="39">
        <f t="shared" si="0"/>
        <v>0</v>
      </c>
      <c r="J33" s="32"/>
    </row>
    <row r="34" spans="1:10" ht="15" thickBot="1" x14ac:dyDescent="0.35">
      <c r="A34" s="26" t="s">
        <v>24</v>
      </c>
      <c r="B34" s="27" t="s">
        <v>83</v>
      </c>
      <c r="C34" s="30">
        <v>1000</v>
      </c>
      <c r="D34" s="28"/>
      <c r="E34" s="39">
        <f t="shared" si="0"/>
        <v>0</v>
      </c>
    </row>
    <row r="35" spans="1:10" ht="15" thickBot="1" x14ac:dyDescent="0.35">
      <c r="A35" s="43" t="s">
        <v>26</v>
      </c>
      <c r="B35" s="44" t="s">
        <v>43</v>
      </c>
      <c r="C35" s="45">
        <v>1500</v>
      </c>
      <c r="D35" s="46"/>
      <c r="E35" s="39">
        <f t="shared" si="0"/>
        <v>0</v>
      </c>
    </row>
    <row r="36" spans="1:10" ht="15" thickBot="1" x14ac:dyDescent="0.35">
      <c r="A36" s="11" t="s">
        <v>28</v>
      </c>
      <c r="B36" t="s">
        <v>89</v>
      </c>
      <c r="C36" s="12">
        <v>500</v>
      </c>
      <c r="D36"/>
      <c r="E36" s="39">
        <f t="shared" si="0"/>
        <v>0</v>
      </c>
    </row>
    <row r="37" spans="1:10" ht="15" thickBot="1" x14ac:dyDescent="0.35">
      <c r="A37" s="11" t="s">
        <v>30</v>
      </c>
      <c r="B37" t="s">
        <v>90</v>
      </c>
      <c r="C37" s="12">
        <v>2000</v>
      </c>
      <c r="D37"/>
      <c r="E37" s="39">
        <f t="shared" si="0"/>
        <v>0</v>
      </c>
    </row>
    <row r="38" spans="1:10" ht="15" thickBot="1" x14ac:dyDescent="0.35">
      <c r="A38" s="11" t="s">
        <v>32</v>
      </c>
      <c r="B38" t="s">
        <v>95</v>
      </c>
      <c r="C38" s="12"/>
      <c r="D38"/>
      <c r="E38" s="13">
        <f t="shared" ref="E38" si="1">D38*C38</f>
        <v>0</v>
      </c>
    </row>
    <row r="39" spans="1:10" ht="15" thickBot="1" x14ac:dyDescent="0.35">
      <c r="A39" s="27"/>
      <c r="B39" s="27"/>
      <c r="C39" s="27"/>
      <c r="D39" s="27"/>
      <c r="E39" s="39">
        <f t="shared" si="0"/>
        <v>0</v>
      </c>
    </row>
    <row r="40" spans="1:10" ht="15" thickBot="1" x14ac:dyDescent="0.35">
      <c r="A40" s="21">
        <v>4</v>
      </c>
      <c r="B40" s="22" t="s">
        <v>44</v>
      </c>
      <c r="C40" s="23"/>
      <c r="D40" s="23"/>
      <c r="E40" s="39">
        <f t="shared" si="0"/>
        <v>0</v>
      </c>
    </row>
    <row r="41" spans="1:10" ht="15" thickBot="1" x14ac:dyDescent="0.35">
      <c r="A41" s="26" t="s">
        <v>6</v>
      </c>
      <c r="B41" s="27" t="s">
        <v>45</v>
      </c>
      <c r="C41" s="30">
        <v>400</v>
      </c>
      <c r="D41" s="28"/>
      <c r="E41" s="39">
        <f t="shared" si="0"/>
        <v>0</v>
      </c>
    </row>
    <row r="42" spans="1:10" ht="15" thickBot="1" x14ac:dyDescent="0.35">
      <c r="A42" s="26" t="s">
        <v>8</v>
      </c>
      <c r="B42" s="27" t="s">
        <v>46</v>
      </c>
      <c r="C42" s="28">
        <v>100</v>
      </c>
      <c r="D42" s="28"/>
      <c r="E42" s="39">
        <f t="shared" si="0"/>
        <v>0</v>
      </c>
    </row>
    <row r="43" spans="1:10" ht="15" thickBot="1" x14ac:dyDescent="0.35">
      <c r="A43" s="26" t="s">
        <v>10</v>
      </c>
      <c r="B43" s="27" t="s">
        <v>47</v>
      </c>
      <c r="C43" s="27"/>
      <c r="D43" s="27"/>
      <c r="E43" s="39">
        <f t="shared" si="0"/>
        <v>0</v>
      </c>
    </row>
    <row r="44" spans="1:10" ht="15" thickBot="1" x14ac:dyDescent="0.35">
      <c r="A44" s="26" t="s">
        <v>12</v>
      </c>
      <c r="B44" s="27" t="s">
        <v>48</v>
      </c>
      <c r="C44" s="27"/>
      <c r="D44" s="27"/>
      <c r="E44" s="39">
        <f t="shared" si="0"/>
        <v>0</v>
      </c>
    </row>
    <row r="45" spans="1:10" ht="15" thickBot="1" x14ac:dyDescent="0.35">
      <c r="A45" s="26" t="s">
        <v>14</v>
      </c>
      <c r="B45" s="27" t="s">
        <v>49</v>
      </c>
      <c r="C45" s="27"/>
      <c r="D45" s="27"/>
      <c r="E45" s="39">
        <f t="shared" si="0"/>
        <v>0</v>
      </c>
    </row>
    <row r="46" spans="1:10" ht="15" thickBot="1" x14ac:dyDescent="0.35">
      <c r="A46" s="27"/>
      <c r="B46" s="27"/>
      <c r="C46" s="27"/>
      <c r="D46" s="27"/>
      <c r="E46" s="39">
        <f t="shared" si="0"/>
        <v>0</v>
      </c>
    </row>
    <row r="47" spans="1:10" ht="15" thickBot="1" x14ac:dyDescent="0.35">
      <c r="A47" s="21">
        <v>5</v>
      </c>
      <c r="B47" s="22" t="s">
        <v>50</v>
      </c>
      <c r="C47" s="23"/>
      <c r="D47" s="23"/>
      <c r="E47" s="39">
        <f t="shared" si="0"/>
        <v>0</v>
      </c>
    </row>
    <row r="48" spans="1:10" ht="15" thickBot="1" x14ac:dyDescent="0.35">
      <c r="A48" s="26" t="s">
        <v>6</v>
      </c>
      <c r="B48" s="47" t="s">
        <v>51</v>
      </c>
      <c r="C48" s="28">
        <v>100</v>
      </c>
      <c r="D48" s="28"/>
      <c r="E48" s="39">
        <f t="shared" si="0"/>
        <v>0</v>
      </c>
    </row>
    <row r="49" spans="1:5" ht="15" thickBot="1" x14ac:dyDescent="0.35">
      <c r="A49" s="26" t="s">
        <v>8</v>
      </c>
      <c r="B49" s="27" t="s">
        <v>52</v>
      </c>
      <c r="C49" s="28">
        <v>200</v>
      </c>
      <c r="D49" s="27"/>
      <c r="E49" s="39">
        <f t="shared" si="0"/>
        <v>0</v>
      </c>
    </row>
    <row r="50" spans="1:5" ht="15" thickBot="1" x14ac:dyDescent="0.35">
      <c r="A50" s="29"/>
      <c r="B50" s="27"/>
      <c r="C50" s="27"/>
      <c r="D50" s="27"/>
      <c r="E50" s="39">
        <f t="shared" si="0"/>
        <v>0</v>
      </c>
    </row>
    <row r="51" spans="1:5" ht="15" thickBot="1" x14ac:dyDescent="0.35">
      <c r="A51" s="21">
        <v>6</v>
      </c>
      <c r="B51" s="22" t="s">
        <v>53</v>
      </c>
      <c r="C51" s="23"/>
      <c r="D51" s="23"/>
      <c r="E51" s="39">
        <f t="shared" si="0"/>
        <v>0</v>
      </c>
    </row>
    <row r="52" spans="1:5" ht="15" thickBot="1" x14ac:dyDescent="0.35">
      <c r="A52" s="26" t="s">
        <v>6</v>
      </c>
      <c r="B52" s="27" t="s">
        <v>54</v>
      </c>
      <c r="C52" s="30">
        <v>2500</v>
      </c>
      <c r="D52" s="28">
        <v>1</v>
      </c>
      <c r="E52" s="39">
        <f t="shared" si="0"/>
        <v>2500</v>
      </c>
    </row>
    <row r="53" spans="1:5" ht="15" thickBot="1" x14ac:dyDescent="0.35">
      <c r="A53" s="26" t="s">
        <v>8</v>
      </c>
      <c r="B53" s="27" t="s">
        <v>55</v>
      </c>
      <c r="C53" s="28">
        <v>300</v>
      </c>
      <c r="D53" s="27"/>
      <c r="E53" s="39">
        <f t="shared" si="0"/>
        <v>0</v>
      </c>
    </row>
    <row r="54" spans="1:5" ht="15" thickBot="1" x14ac:dyDescent="0.35">
      <c r="A54" s="26" t="s">
        <v>10</v>
      </c>
      <c r="B54" s="27" t="s">
        <v>56</v>
      </c>
      <c r="C54" s="28">
        <v>700</v>
      </c>
      <c r="D54" s="27"/>
      <c r="E54" s="39">
        <f t="shared" si="0"/>
        <v>0</v>
      </c>
    </row>
    <row r="55" spans="1:5" ht="15" thickBot="1" x14ac:dyDescent="0.35">
      <c r="A55" s="26" t="s">
        <v>12</v>
      </c>
      <c r="B55" s="27" t="s">
        <v>57</v>
      </c>
      <c r="C55" s="28">
        <v>800</v>
      </c>
      <c r="D55" s="27"/>
      <c r="E55" s="39">
        <f t="shared" si="0"/>
        <v>0</v>
      </c>
    </row>
    <row r="56" spans="1:5" ht="15" thickBot="1" x14ac:dyDescent="0.35">
      <c r="A56" s="26" t="s">
        <v>14</v>
      </c>
      <c r="B56" s="27" t="s">
        <v>58</v>
      </c>
      <c r="C56" s="28">
        <v>300</v>
      </c>
      <c r="D56" s="27"/>
      <c r="E56" s="39">
        <f t="shared" si="0"/>
        <v>0</v>
      </c>
    </row>
    <row r="57" spans="1:5" ht="15" thickBot="1" x14ac:dyDescent="0.35">
      <c r="A57" s="26" t="s">
        <v>22</v>
      </c>
      <c r="B57" s="27" t="s">
        <v>59</v>
      </c>
      <c r="C57" s="28">
        <v>300</v>
      </c>
      <c r="D57" s="27"/>
      <c r="E57" s="39">
        <f t="shared" si="0"/>
        <v>0</v>
      </c>
    </row>
    <row r="58" spans="1:5" ht="15" thickBot="1" x14ac:dyDescent="0.35">
      <c r="A58" s="26" t="s">
        <v>24</v>
      </c>
      <c r="B58" s="27" t="s">
        <v>60</v>
      </c>
      <c r="C58" s="30">
        <v>1000</v>
      </c>
      <c r="D58" s="28"/>
      <c r="E58" s="39">
        <f t="shared" si="0"/>
        <v>0</v>
      </c>
    </row>
    <row r="59" spans="1:5" ht="15" thickBot="1" x14ac:dyDescent="0.35">
      <c r="A59" s="26" t="s">
        <v>26</v>
      </c>
      <c r="B59" s="27" t="s">
        <v>61</v>
      </c>
      <c r="C59" s="28">
        <v>300</v>
      </c>
      <c r="D59" s="27"/>
      <c r="E59" s="39">
        <f t="shared" si="0"/>
        <v>0</v>
      </c>
    </row>
    <row r="60" spans="1:5" ht="15" thickBot="1" x14ac:dyDescent="0.35">
      <c r="A60" s="26" t="s">
        <v>28</v>
      </c>
      <c r="B60" s="27" t="s">
        <v>62</v>
      </c>
      <c r="C60" s="28">
        <v>500</v>
      </c>
      <c r="D60" s="27"/>
      <c r="E60" s="39">
        <f t="shared" si="0"/>
        <v>0</v>
      </c>
    </row>
    <row r="61" spans="1:5" ht="15" thickBot="1" x14ac:dyDescent="0.35">
      <c r="A61" s="26" t="s">
        <v>30</v>
      </c>
      <c r="B61" s="27" t="s">
        <v>63</v>
      </c>
      <c r="C61" s="28">
        <v>700</v>
      </c>
      <c r="D61" s="27"/>
      <c r="E61" s="39">
        <f t="shared" si="0"/>
        <v>0</v>
      </c>
    </row>
    <row r="62" spans="1:5" ht="15" thickBot="1" x14ac:dyDescent="0.35">
      <c r="A62" s="26" t="s">
        <v>32</v>
      </c>
      <c r="B62" s="27" t="s">
        <v>64</v>
      </c>
      <c r="C62" s="28">
        <v>800</v>
      </c>
      <c r="D62" s="27"/>
      <c r="E62" s="39">
        <f t="shared" si="0"/>
        <v>0</v>
      </c>
    </row>
    <row r="63" spans="1:5" ht="15" thickBot="1" x14ac:dyDescent="0.35">
      <c r="A63" s="26" t="s">
        <v>34</v>
      </c>
      <c r="B63" s="27" t="s">
        <v>65</v>
      </c>
      <c r="C63" s="28">
        <v>300</v>
      </c>
      <c r="D63" s="27"/>
      <c r="E63" s="39">
        <f t="shared" si="0"/>
        <v>0</v>
      </c>
    </row>
    <row r="64" spans="1:5" ht="15" thickBot="1" x14ac:dyDescent="0.35">
      <c r="A64" s="26" t="s">
        <v>66</v>
      </c>
      <c r="B64" s="27" t="s">
        <v>67</v>
      </c>
      <c r="C64" s="28">
        <v>300</v>
      </c>
      <c r="D64" s="27"/>
      <c r="E64" s="39">
        <f t="shared" si="0"/>
        <v>0</v>
      </c>
    </row>
    <row r="65" spans="1:13" ht="15" thickBot="1" x14ac:dyDescent="0.35">
      <c r="A65" s="26" t="s">
        <v>68</v>
      </c>
      <c r="B65" s="27" t="s">
        <v>69</v>
      </c>
      <c r="C65" s="28">
        <v>600</v>
      </c>
      <c r="D65" s="27"/>
      <c r="E65" s="39">
        <f t="shared" si="0"/>
        <v>0</v>
      </c>
    </row>
    <row r="66" spans="1:13" ht="15" thickBot="1" x14ac:dyDescent="0.35">
      <c r="A66" s="26" t="s">
        <v>70</v>
      </c>
      <c r="B66" s="27" t="s">
        <v>71</v>
      </c>
      <c r="C66" s="28">
        <v>1500</v>
      </c>
      <c r="D66" s="27"/>
      <c r="E66" s="39">
        <f t="shared" si="0"/>
        <v>0</v>
      </c>
    </row>
    <row r="67" spans="1:13" ht="15" thickBot="1" x14ac:dyDescent="0.35">
      <c r="A67" s="26" t="s">
        <v>72</v>
      </c>
      <c r="B67" s="27" t="s">
        <v>73</v>
      </c>
      <c r="C67" s="30">
        <v>1000</v>
      </c>
      <c r="D67" s="27"/>
      <c r="E67" s="39">
        <f t="shared" si="0"/>
        <v>0</v>
      </c>
    </row>
    <row r="68" spans="1:13" ht="15" thickBot="1" x14ac:dyDescent="0.35">
      <c r="A68" s="26" t="s">
        <v>74</v>
      </c>
      <c r="B68" s="27" t="s">
        <v>75</v>
      </c>
      <c r="C68" s="30">
        <v>2000</v>
      </c>
      <c r="D68" s="27"/>
      <c r="E68" s="39">
        <f t="shared" si="0"/>
        <v>0</v>
      </c>
      <c r="M68"/>
    </row>
    <row r="69" spans="1:13" ht="15" thickBot="1" x14ac:dyDescent="0.35">
      <c r="A69" s="11" t="s">
        <v>79</v>
      </c>
      <c r="B69" s="14" t="s">
        <v>84</v>
      </c>
      <c r="C69" s="12">
        <v>400</v>
      </c>
      <c r="D69"/>
      <c r="E69" s="39">
        <f t="shared" si="0"/>
        <v>0</v>
      </c>
      <c r="M69"/>
    </row>
    <row r="70" spans="1:13" ht="15" thickBot="1" x14ac:dyDescent="0.35">
      <c r="A70" s="11" t="s">
        <v>85</v>
      </c>
      <c r="B70" s="14" t="s">
        <v>86</v>
      </c>
      <c r="C70" s="12">
        <v>300</v>
      </c>
      <c r="D70"/>
      <c r="E70" s="39">
        <f t="shared" si="0"/>
        <v>0</v>
      </c>
      <c r="M70"/>
    </row>
    <row r="71" spans="1:13" ht="15" thickBot="1" x14ac:dyDescent="0.35">
      <c r="A71" s="11" t="s">
        <v>87</v>
      </c>
      <c r="B71" s="14" t="s">
        <v>88</v>
      </c>
      <c r="C71" s="12">
        <v>500</v>
      </c>
      <c r="D71"/>
      <c r="E71" s="39">
        <f t="shared" si="0"/>
        <v>0</v>
      </c>
      <c r="M71"/>
    </row>
    <row r="72" spans="1:13" ht="15" thickBot="1" x14ac:dyDescent="0.35">
      <c r="A72" s="27"/>
      <c r="B72" s="27"/>
      <c r="C72" s="27"/>
      <c r="D72" s="27"/>
      <c r="E72" s="39">
        <f t="shared" si="0"/>
        <v>0</v>
      </c>
      <c r="M72"/>
    </row>
    <row r="73" spans="1:13" ht="15" thickBot="1" x14ac:dyDescent="0.35">
      <c r="A73" s="31">
        <v>7</v>
      </c>
      <c r="B73" s="22" t="s">
        <v>76</v>
      </c>
      <c r="C73" s="23"/>
      <c r="D73" s="23"/>
      <c r="E73" s="39">
        <f t="shared" si="0"/>
        <v>0</v>
      </c>
      <c r="M73"/>
    </row>
    <row r="74" spans="1:13" ht="15" thickBot="1" x14ac:dyDescent="0.35">
      <c r="A74" s="26" t="s">
        <v>6</v>
      </c>
      <c r="B74" s="27" t="s">
        <v>77</v>
      </c>
      <c r="C74" s="27"/>
      <c r="D74" s="27"/>
      <c r="E74" s="39">
        <f t="shared" ref="E74:E75" si="2">C74*D74</f>
        <v>0</v>
      </c>
      <c r="M74"/>
    </row>
    <row r="75" spans="1:13" ht="15" thickBot="1" x14ac:dyDescent="0.35">
      <c r="A75" s="26" t="s">
        <v>8</v>
      </c>
      <c r="B75" s="27" t="s">
        <v>78</v>
      </c>
      <c r="C75" s="28">
        <v>2000</v>
      </c>
      <c r="D75" s="27"/>
      <c r="E75" s="39">
        <f t="shared" si="2"/>
        <v>0</v>
      </c>
      <c r="M75"/>
    </row>
    <row r="77" spans="1:13" x14ac:dyDescent="0.3">
      <c r="A77" s="15">
        <v>8</v>
      </c>
      <c r="B77" s="7" t="s">
        <v>96</v>
      </c>
      <c r="C77" s="9"/>
      <c r="D77" s="8"/>
      <c r="E77" s="10">
        <f t="shared" ref="E77:E84" si="3">D77*C77</f>
        <v>0</v>
      </c>
    </row>
    <row r="78" spans="1:13" x14ac:dyDescent="0.3">
      <c r="A78" s="48" t="s">
        <v>6</v>
      </c>
      <c r="B78" s="14" t="s">
        <v>97</v>
      </c>
      <c r="C78">
        <v>100</v>
      </c>
      <c r="E78" s="13">
        <f t="shared" si="3"/>
        <v>0</v>
      </c>
    </row>
    <row r="79" spans="1:13" x14ac:dyDescent="0.3">
      <c r="A79" s="11" t="s">
        <v>8</v>
      </c>
      <c r="B79" s="14" t="s">
        <v>99</v>
      </c>
      <c r="C79">
        <v>100</v>
      </c>
      <c r="E79" s="13">
        <f t="shared" si="3"/>
        <v>0</v>
      </c>
    </row>
    <row r="80" spans="1:13" x14ac:dyDescent="0.3">
      <c r="A80" s="11" t="s">
        <v>10</v>
      </c>
      <c r="B80" s="14" t="s">
        <v>100</v>
      </c>
      <c r="C80">
        <v>100</v>
      </c>
      <c r="E80" s="13">
        <f t="shared" si="3"/>
        <v>0</v>
      </c>
    </row>
    <row r="81" spans="1:5" x14ac:dyDescent="0.3">
      <c r="A81" s="11" t="s">
        <v>12</v>
      </c>
      <c r="B81" s="14" t="s">
        <v>101</v>
      </c>
      <c r="C81">
        <v>2000</v>
      </c>
      <c r="E81" s="13">
        <f t="shared" si="3"/>
        <v>0</v>
      </c>
    </row>
    <row r="82" spans="1:5" x14ac:dyDescent="0.3">
      <c r="A82" s="11" t="s">
        <v>14</v>
      </c>
      <c r="B82" s="14" t="s">
        <v>104</v>
      </c>
      <c r="C82">
        <v>4000</v>
      </c>
      <c r="E82" s="13">
        <f t="shared" si="3"/>
        <v>0</v>
      </c>
    </row>
    <row r="83" spans="1:5" x14ac:dyDescent="0.3">
      <c r="A83" s="11" t="s">
        <v>22</v>
      </c>
      <c r="B83" s="14" t="s">
        <v>102</v>
      </c>
      <c r="C83">
        <v>1700</v>
      </c>
      <c r="E83" s="13">
        <f t="shared" si="3"/>
        <v>0</v>
      </c>
    </row>
    <row r="84" spans="1:5" x14ac:dyDescent="0.3">
      <c r="A84" s="11" t="s">
        <v>24</v>
      </c>
      <c r="B84" s="14" t="s">
        <v>103</v>
      </c>
      <c r="C84">
        <v>1200</v>
      </c>
      <c r="E84" s="13">
        <f t="shared" si="3"/>
        <v>0</v>
      </c>
    </row>
    <row r="85" spans="1:5" x14ac:dyDescent="0.3">
      <c r="A85" s="48"/>
      <c r="B85" s="14"/>
    </row>
    <row r="86" spans="1:5" x14ac:dyDescent="0.3">
      <c r="A86" s="48"/>
      <c r="B86" s="14"/>
    </row>
    <row r="88" spans="1:5" x14ac:dyDescent="0.3">
      <c r="B88" t="s">
        <v>80</v>
      </c>
      <c r="E88" s="13">
        <f>SUM(E2:E76)</f>
        <v>2500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7"/>
  <sheetViews>
    <sheetView topLeftCell="A80" zoomScale="80" zoomScaleNormal="55" workbookViewId="0">
      <selection activeCell="C112" sqref="C11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</row>
    <row r="24" spans="1:5" x14ac:dyDescent="0.3">
      <c r="A24" s="11" t="s">
        <v>70</v>
      </c>
      <c r="B24" t="s">
        <v>94</v>
      </c>
      <c r="C24" s="12">
        <v>500</v>
      </c>
      <c r="D24"/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s="52" t="s">
        <v>37</v>
      </c>
      <c r="C28" s="53">
        <v>100</v>
      </c>
      <c r="D28" s="52">
        <v>20</v>
      </c>
      <c r="E28" s="13">
        <f t="shared" si="0"/>
        <v>2000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/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600</v>
      </c>
      <c r="D34"/>
      <c r="E34" s="13">
        <f t="shared" si="0"/>
        <v>0</v>
      </c>
      <c r="J34" s="32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5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550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2500</v>
      </c>
      <c r="D52">
        <v>1</v>
      </c>
      <c r="E52" s="13">
        <f t="shared" si="1"/>
        <v>2500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13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/>
    </row>
    <row r="72" spans="1:13" x14ac:dyDescent="0.3">
      <c r="C72" s="12"/>
      <c r="D72"/>
      <c r="E72" s="13">
        <f t="shared" si="1"/>
        <v>0</v>
      </c>
      <c r="M72"/>
    </row>
    <row r="73" spans="1:13" x14ac:dyDescent="0.3">
      <c r="A73" s="15">
        <v>7</v>
      </c>
      <c r="B73" s="7" t="s">
        <v>76</v>
      </c>
      <c r="C73" s="9"/>
      <c r="D73" s="8"/>
      <c r="E73" s="10">
        <f t="shared" si="1"/>
        <v>0</v>
      </c>
      <c r="M73"/>
    </row>
    <row r="74" spans="1:13" x14ac:dyDescent="0.3">
      <c r="A74" s="11" t="s">
        <v>6</v>
      </c>
      <c r="B74" s="14" t="s">
        <v>77</v>
      </c>
      <c r="C74" s="12"/>
      <c r="D74"/>
      <c r="E74" s="13">
        <f t="shared" si="1"/>
        <v>0</v>
      </c>
      <c r="M74"/>
    </row>
    <row r="75" spans="1:13" x14ac:dyDescent="0.3">
      <c r="A75" s="11" t="s">
        <v>8</v>
      </c>
      <c r="B75" s="14" t="s">
        <v>78</v>
      </c>
      <c r="C75" s="12">
        <v>1</v>
      </c>
      <c r="D75"/>
      <c r="E75" s="13">
        <f t="shared" si="1"/>
        <v>0</v>
      </c>
      <c r="M75"/>
    </row>
    <row r="77" spans="1:13" x14ac:dyDescent="0.3">
      <c r="A77" s="15">
        <v>8</v>
      </c>
      <c r="B77" s="7" t="s">
        <v>96</v>
      </c>
      <c r="C77" s="9"/>
      <c r="D77" s="8"/>
      <c r="E77" s="10">
        <f t="shared" ref="E77:E84" si="2">D77*C77</f>
        <v>0</v>
      </c>
    </row>
    <row r="78" spans="1:13" x14ac:dyDescent="0.3">
      <c r="A78" s="48" t="s">
        <v>6</v>
      </c>
      <c r="B78" s="14" t="s">
        <v>97</v>
      </c>
      <c r="C78">
        <v>100</v>
      </c>
      <c r="E78" s="13">
        <f t="shared" si="2"/>
        <v>0</v>
      </c>
    </row>
    <row r="79" spans="1:13" x14ac:dyDescent="0.3">
      <c r="A79" s="11" t="s">
        <v>8</v>
      </c>
      <c r="B79" s="14" t="s">
        <v>99</v>
      </c>
      <c r="C79">
        <v>100</v>
      </c>
      <c r="E79" s="13">
        <f t="shared" si="2"/>
        <v>0</v>
      </c>
    </row>
    <row r="80" spans="1:13" x14ac:dyDescent="0.3">
      <c r="A80" s="11" t="s">
        <v>10</v>
      </c>
      <c r="B80" s="14" t="s">
        <v>100</v>
      </c>
      <c r="C80">
        <v>100</v>
      </c>
      <c r="E80" s="13">
        <f t="shared" si="2"/>
        <v>0</v>
      </c>
    </row>
    <row r="81" spans="1:13" x14ac:dyDescent="0.3">
      <c r="A81" s="11" t="s">
        <v>12</v>
      </c>
      <c r="B81" s="14" t="s">
        <v>101</v>
      </c>
      <c r="C81">
        <v>2000</v>
      </c>
      <c r="E81" s="13">
        <f t="shared" si="2"/>
        <v>0</v>
      </c>
    </row>
    <row r="82" spans="1:13" x14ac:dyDescent="0.3">
      <c r="A82" s="11" t="s">
        <v>14</v>
      </c>
      <c r="B82" s="14" t="s">
        <v>104</v>
      </c>
      <c r="C82">
        <v>4000</v>
      </c>
      <c r="E82" s="13">
        <f t="shared" si="2"/>
        <v>0</v>
      </c>
    </row>
    <row r="83" spans="1:13" x14ac:dyDescent="0.3">
      <c r="A83" s="11" t="s">
        <v>22</v>
      </c>
      <c r="B83" s="14" t="s">
        <v>102</v>
      </c>
      <c r="C83">
        <v>1700</v>
      </c>
      <c r="D83" s="12">
        <v>1</v>
      </c>
      <c r="E83" s="13">
        <f t="shared" si="2"/>
        <v>1700</v>
      </c>
    </row>
    <row r="84" spans="1:13" x14ac:dyDescent="0.3">
      <c r="A84" s="11" t="s">
        <v>24</v>
      </c>
      <c r="B84" s="14" t="s">
        <v>103</v>
      </c>
      <c r="C84">
        <v>1200</v>
      </c>
      <c r="E84" s="13">
        <f t="shared" si="2"/>
        <v>0</v>
      </c>
    </row>
    <row r="85" spans="1:13" x14ac:dyDescent="0.3">
      <c r="A85" s="48"/>
      <c r="B85" s="14"/>
    </row>
    <row r="87" spans="1:13" x14ac:dyDescent="0.3">
      <c r="B87" t="s">
        <v>80</v>
      </c>
      <c r="E87" s="13">
        <f>SUM(E2:E76)</f>
        <v>4500</v>
      </c>
      <c r="M8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7"/>
  <sheetViews>
    <sheetView topLeftCell="A63" zoomScale="89" workbookViewId="0">
      <selection activeCell="E78" sqref="E78:E84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1600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5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2500</v>
      </c>
      <c r="D52">
        <v>1</v>
      </c>
      <c r="E52" s="13">
        <f t="shared" si="1"/>
        <v>2500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1300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700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500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C72" s="12"/>
      <c r="D72"/>
      <c r="E72" s="13">
        <f t="shared" si="1"/>
        <v>0</v>
      </c>
    </row>
    <row r="73" spans="1:5" x14ac:dyDescent="0.3">
      <c r="A73" s="15">
        <v>7</v>
      </c>
      <c r="B73" s="7" t="s">
        <v>76</v>
      </c>
      <c r="C73" s="9"/>
      <c r="D73" s="8"/>
      <c r="E73" s="10">
        <f t="shared" si="1"/>
        <v>0</v>
      </c>
    </row>
    <row r="74" spans="1:5" x14ac:dyDescent="0.3">
      <c r="A74" s="11" t="s">
        <v>6</v>
      </c>
      <c r="B74" s="14" t="s">
        <v>77</v>
      </c>
      <c r="C74" s="12"/>
      <c r="D74"/>
      <c r="E74" s="13">
        <f t="shared" si="1"/>
        <v>0</v>
      </c>
    </row>
    <row r="75" spans="1:5" x14ac:dyDescent="0.3">
      <c r="A75" s="11" t="s">
        <v>8</v>
      </c>
      <c r="B75" s="14" t="s">
        <v>78</v>
      </c>
      <c r="C75" s="12">
        <v>1</v>
      </c>
      <c r="D75"/>
      <c r="E75" s="13">
        <f t="shared" si="1"/>
        <v>0</v>
      </c>
    </row>
    <row r="77" spans="1:5" x14ac:dyDescent="0.3">
      <c r="A77" s="15">
        <v>8</v>
      </c>
      <c r="B77" s="7" t="s">
        <v>96</v>
      </c>
      <c r="C77" s="9"/>
      <c r="D77" s="8"/>
      <c r="E77" s="10">
        <f t="shared" ref="E77:E84" si="2">D77*C77</f>
        <v>0</v>
      </c>
    </row>
    <row r="78" spans="1:5" x14ac:dyDescent="0.3">
      <c r="A78" s="48" t="s">
        <v>6</v>
      </c>
      <c r="B78" s="14" t="s">
        <v>97</v>
      </c>
      <c r="C78">
        <v>100</v>
      </c>
      <c r="E78" s="13">
        <f t="shared" si="2"/>
        <v>0</v>
      </c>
    </row>
    <row r="79" spans="1:5" x14ac:dyDescent="0.3">
      <c r="A79" s="11" t="s">
        <v>8</v>
      </c>
      <c r="B79" s="14" t="s">
        <v>99</v>
      </c>
      <c r="C79">
        <v>100</v>
      </c>
      <c r="E79" s="13">
        <f t="shared" si="2"/>
        <v>0</v>
      </c>
    </row>
    <row r="80" spans="1:5" x14ac:dyDescent="0.3">
      <c r="A80" s="11" t="s">
        <v>10</v>
      </c>
      <c r="B80" s="14" t="s">
        <v>100</v>
      </c>
      <c r="C80">
        <v>100</v>
      </c>
      <c r="E80" s="13">
        <f t="shared" si="2"/>
        <v>0</v>
      </c>
    </row>
    <row r="81" spans="1:5" x14ac:dyDescent="0.3">
      <c r="A81" s="11" t="s">
        <v>12</v>
      </c>
      <c r="B81" s="14" t="s">
        <v>101</v>
      </c>
      <c r="C81">
        <v>2000</v>
      </c>
      <c r="E81" s="13">
        <f t="shared" si="2"/>
        <v>0</v>
      </c>
    </row>
    <row r="82" spans="1:5" x14ac:dyDescent="0.3">
      <c r="A82" s="11" t="s">
        <v>14</v>
      </c>
      <c r="B82" s="14" t="s">
        <v>104</v>
      </c>
      <c r="C82">
        <v>4000</v>
      </c>
      <c r="E82" s="13">
        <f t="shared" si="2"/>
        <v>0</v>
      </c>
    </row>
    <row r="83" spans="1:5" x14ac:dyDescent="0.3">
      <c r="A83" s="11" t="s">
        <v>22</v>
      </c>
      <c r="B83" s="14" t="s">
        <v>102</v>
      </c>
      <c r="C83">
        <v>1700</v>
      </c>
      <c r="E83" s="13">
        <f t="shared" si="2"/>
        <v>0</v>
      </c>
    </row>
    <row r="84" spans="1:5" x14ac:dyDescent="0.3">
      <c r="A84" s="11" t="s">
        <v>24</v>
      </c>
      <c r="B84" s="14" t="s">
        <v>103</v>
      </c>
      <c r="C84">
        <v>1200</v>
      </c>
      <c r="E84" s="13">
        <f t="shared" si="2"/>
        <v>0</v>
      </c>
    </row>
    <row r="85" spans="1:5" x14ac:dyDescent="0.3">
      <c r="A85" s="48"/>
      <c r="B85" s="14"/>
    </row>
    <row r="87" spans="1:5" x14ac:dyDescent="0.3">
      <c r="B87" t="s">
        <v>80</v>
      </c>
      <c r="E87" s="13">
        <f>SUM(E2:E76)</f>
        <v>2500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7"/>
  <sheetViews>
    <sheetView topLeftCell="A68" workbookViewId="0">
      <selection activeCell="E79" sqref="E79:E84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f>4700/12</f>
        <v>391.66666666666669</v>
      </c>
      <c r="D3">
        <v>24</v>
      </c>
      <c r="E3" s="13">
        <f t="shared" ref="E3:E42" si="0">D3*C3</f>
        <v>9400</v>
      </c>
      <c r="J3" s="32"/>
    </row>
    <row r="4" spans="1:10" x14ac:dyDescent="0.3">
      <c r="A4" s="11" t="s">
        <v>8</v>
      </c>
      <c r="B4" t="s">
        <v>9</v>
      </c>
      <c r="C4" s="12">
        <f>4800/12</f>
        <v>400</v>
      </c>
      <c r="D4">
        <v>48</v>
      </c>
      <c r="E4" s="13">
        <f t="shared" si="0"/>
        <v>19200</v>
      </c>
    </row>
    <row r="5" spans="1:10" x14ac:dyDescent="0.3">
      <c r="A5" s="11" t="s">
        <v>10</v>
      </c>
      <c r="B5" t="s">
        <v>11</v>
      </c>
      <c r="C5" s="12">
        <f>6900/12</f>
        <v>575</v>
      </c>
      <c r="D5">
        <v>24</v>
      </c>
      <c r="E5" s="13">
        <f t="shared" si="0"/>
        <v>13800</v>
      </c>
    </row>
    <row r="6" spans="1:10" x14ac:dyDescent="0.3">
      <c r="A6" s="11" t="s">
        <v>12</v>
      </c>
      <c r="B6" t="s">
        <v>13</v>
      </c>
      <c r="C6" s="12">
        <v>575</v>
      </c>
      <c r="D6">
        <v>12</v>
      </c>
      <c r="E6" s="13">
        <f>D6*C6</f>
        <v>6900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f>3400/12</f>
        <v>283.33333333333331</v>
      </c>
      <c r="D10">
        <v>12</v>
      </c>
      <c r="E10" s="13">
        <f>D10*C10</f>
        <v>3400</v>
      </c>
    </row>
    <row r="11" spans="1:10" x14ac:dyDescent="0.3">
      <c r="A11" s="11" t="s">
        <v>8</v>
      </c>
      <c r="B11" t="s">
        <v>18</v>
      </c>
      <c r="C11" s="12">
        <v>200</v>
      </c>
      <c r="D11">
        <v>12</v>
      </c>
      <c r="E11" s="13">
        <f>D11*C11</f>
        <v>2400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1000</v>
      </c>
      <c r="D14">
        <v>5</v>
      </c>
      <c r="E14" s="13">
        <f t="shared" si="0"/>
        <v>5000</v>
      </c>
    </row>
    <row r="15" spans="1:10" x14ac:dyDescent="0.3">
      <c r="A15" s="11" t="s">
        <v>22</v>
      </c>
      <c r="B15" t="s">
        <v>23</v>
      </c>
      <c r="C15" s="12">
        <v>283.33333333333331</v>
      </c>
      <c r="D15">
        <v>24</v>
      </c>
      <c r="E15" s="13">
        <f t="shared" si="0"/>
        <v>6800</v>
      </c>
    </row>
    <row r="16" spans="1:10" x14ac:dyDescent="0.3">
      <c r="A16" s="11" t="s">
        <v>24</v>
      </c>
      <c r="B16" t="s">
        <v>25</v>
      </c>
      <c r="C16" s="12">
        <f>2600/12</f>
        <v>216.66666666666666</v>
      </c>
      <c r="D16">
        <v>24</v>
      </c>
      <c r="E16" s="13">
        <f t="shared" si="0"/>
        <v>5200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f>2600/12</f>
        <v>216.66666666666666</v>
      </c>
      <c r="D18">
        <v>24</v>
      </c>
      <c r="E18" s="13">
        <f t="shared" si="0"/>
        <v>5200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83.333333333333329</v>
      </c>
      <c r="D20">
        <v>48</v>
      </c>
      <c r="E20" s="13">
        <f t="shared" si="0"/>
        <v>4000</v>
      </c>
    </row>
    <row r="21" spans="1:5" x14ac:dyDescent="0.3">
      <c r="A21" s="11" t="s">
        <v>34</v>
      </c>
      <c r="B21" t="s">
        <v>35</v>
      </c>
      <c r="C21" s="12">
        <f>2900/12</f>
        <v>241.66666666666666</v>
      </c>
      <c r="D21">
        <v>36</v>
      </c>
      <c r="E21" s="13">
        <f t="shared" si="0"/>
        <v>8700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f>4700/12</f>
        <v>391.66666666666669</v>
      </c>
      <c r="D24">
        <v>12</v>
      </c>
      <c r="E24" s="13">
        <f t="shared" si="0"/>
        <v>4700</v>
      </c>
    </row>
    <row r="25" spans="1:5" x14ac:dyDescent="0.3">
      <c r="A25" s="11" t="s">
        <v>72</v>
      </c>
      <c r="B25" t="s">
        <v>93</v>
      </c>
      <c r="C25" s="12">
        <v>200</v>
      </c>
      <c r="D25">
        <v>12</v>
      </c>
      <c r="E25" s="13">
        <f t="shared" si="0"/>
        <v>2400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s="52" t="s">
        <v>37</v>
      </c>
      <c r="C28" s="53">
        <v>100</v>
      </c>
      <c r="D28" s="52">
        <v>25</v>
      </c>
      <c r="E28" s="13">
        <f t="shared" si="0"/>
        <v>2500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5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2800</v>
      </c>
      <c r="D52">
        <v>1</v>
      </c>
      <c r="E52" s="13">
        <f t="shared" si="1"/>
        <v>2800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f>3250/12</f>
        <v>270.83333333333331</v>
      </c>
      <c r="D54">
        <v>12</v>
      </c>
      <c r="E54" s="13">
        <f t="shared" si="1"/>
        <v>3250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500</v>
      </c>
      <c r="D61">
        <v>12</v>
      </c>
      <c r="E61" s="13">
        <f t="shared" si="1"/>
        <v>6000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C72" s="12"/>
      <c r="D72"/>
      <c r="E72" s="13">
        <f t="shared" si="1"/>
        <v>0</v>
      </c>
    </row>
    <row r="73" spans="1:5" x14ac:dyDescent="0.3">
      <c r="A73" s="15">
        <v>7</v>
      </c>
      <c r="B73" s="7" t="s">
        <v>76</v>
      </c>
      <c r="C73" s="9"/>
      <c r="D73" s="8"/>
      <c r="E73" s="10">
        <f t="shared" si="1"/>
        <v>0</v>
      </c>
    </row>
    <row r="74" spans="1:5" x14ac:dyDescent="0.3">
      <c r="A74" s="11" t="s">
        <v>6</v>
      </c>
      <c r="B74" s="14" t="s">
        <v>77</v>
      </c>
      <c r="C74" s="12"/>
      <c r="D74"/>
      <c r="E74" s="13">
        <f t="shared" si="1"/>
        <v>0</v>
      </c>
    </row>
    <row r="75" spans="1:5" x14ac:dyDescent="0.3">
      <c r="A75" s="11" t="s">
        <v>8</v>
      </c>
      <c r="B75" s="14" t="s">
        <v>78</v>
      </c>
      <c r="C75" s="12">
        <v>1</v>
      </c>
      <c r="D75"/>
      <c r="E75" s="13">
        <f t="shared" si="1"/>
        <v>0</v>
      </c>
    </row>
    <row r="76" spans="1:5" x14ac:dyDescent="0.3">
      <c r="A76" s="11"/>
      <c r="B76" s="14"/>
      <c r="C76" s="12"/>
      <c r="D76"/>
    </row>
    <row r="77" spans="1:5" x14ac:dyDescent="0.3">
      <c r="A77" s="15">
        <v>8</v>
      </c>
      <c r="B77" s="7" t="s">
        <v>96</v>
      </c>
      <c r="C77" s="9"/>
      <c r="D77" s="8"/>
      <c r="E77" s="10">
        <f t="shared" ref="E77:E84" si="2">D77*C77</f>
        <v>0</v>
      </c>
    </row>
    <row r="78" spans="1:5" x14ac:dyDescent="0.3">
      <c r="A78" s="48" t="s">
        <v>6</v>
      </c>
      <c r="B78" s="14" t="s">
        <v>97</v>
      </c>
      <c r="C78">
        <v>100</v>
      </c>
      <c r="E78" s="13">
        <f t="shared" si="2"/>
        <v>0</v>
      </c>
    </row>
    <row r="79" spans="1:5" x14ac:dyDescent="0.3">
      <c r="A79" s="11" t="s">
        <v>8</v>
      </c>
      <c r="B79" s="14" t="s">
        <v>99</v>
      </c>
      <c r="C79">
        <v>100</v>
      </c>
      <c r="E79" s="13">
        <f t="shared" si="2"/>
        <v>0</v>
      </c>
    </row>
    <row r="80" spans="1:5" x14ac:dyDescent="0.3">
      <c r="A80" s="11" t="s">
        <v>10</v>
      </c>
      <c r="B80" s="14" t="s">
        <v>100</v>
      </c>
      <c r="C80">
        <v>100</v>
      </c>
      <c r="E80" s="13">
        <f t="shared" si="2"/>
        <v>0</v>
      </c>
    </row>
    <row r="81" spans="1:5" x14ac:dyDescent="0.3">
      <c r="A81" s="11" t="s">
        <v>12</v>
      </c>
      <c r="B81" s="14" t="s">
        <v>101</v>
      </c>
      <c r="C81">
        <v>2000</v>
      </c>
      <c r="E81" s="13">
        <f t="shared" si="2"/>
        <v>0</v>
      </c>
    </row>
    <row r="82" spans="1:5" x14ac:dyDescent="0.3">
      <c r="A82" s="11" t="s">
        <v>14</v>
      </c>
      <c r="B82" s="14" t="s">
        <v>104</v>
      </c>
      <c r="C82">
        <v>4000</v>
      </c>
      <c r="E82" s="13">
        <f t="shared" si="2"/>
        <v>0</v>
      </c>
    </row>
    <row r="83" spans="1:5" x14ac:dyDescent="0.3">
      <c r="A83" s="11" t="s">
        <v>22</v>
      </c>
      <c r="B83" s="14" t="s">
        <v>102</v>
      </c>
      <c r="C83">
        <v>1700</v>
      </c>
      <c r="E83" s="13">
        <f t="shared" si="2"/>
        <v>0</v>
      </c>
    </row>
    <row r="84" spans="1:5" x14ac:dyDescent="0.3">
      <c r="A84" s="11" t="s">
        <v>24</v>
      </c>
      <c r="B84" s="14" t="s">
        <v>103</v>
      </c>
      <c r="C84">
        <v>1200</v>
      </c>
      <c r="D84" s="12">
        <v>1</v>
      </c>
      <c r="E84" s="13">
        <f t="shared" si="2"/>
        <v>1200</v>
      </c>
    </row>
    <row r="85" spans="1:5" x14ac:dyDescent="0.3">
      <c r="A85" s="48"/>
      <c r="B85" s="14"/>
    </row>
    <row r="87" spans="1:5" x14ac:dyDescent="0.3">
      <c r="B87" t="s">
        <v>80</v>
      </c>
      <c r="E87" s="13">
        <f>SUM(E2:E86)</f>
        <v>112850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7"/>
  <sheetViews>
    <sheetView topLeftCell="A62" workbookViewId="0">
      <selection activeCell="E78" sqref="E78:E84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500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3000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5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5300</v>
      </c>
      <c r="D52">
        <v>1</v>
      </c>
      <c r="E52" s="13">
        <f t="shared" si="1"/>
        <v>5300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1500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1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C72" s="12"/>
      <c r="D72"/>
      <c r="E72" s="13">
        <f t="shared" si="1"/>
        <v>0</v>
      </c>
    </row>
    <row r="73" spans="1:5" x14ac:dyDescent="0.3">
      <c r="A73" s="15">
        <v>7</v>
      </c>
      <c r="B73" s="7" t="s">
        <v>76</v>
      </c>
      <c r="C73" s="9"/>
      <c r="D73" s="8"/>
      <c r="E73" s="10">
        <f t="shared" si="1"/>
        <v>0</v>
      </c>
    </row>
    <row r="74" spans="1:5" x14ac:dyDescent="0.3">
      <c r="A74" s="11" t="s">
        <v>6</v>
      </c>
      <c r="B74" s="14" t="s">
        <v>77</v>
      </c>
      <c r="C74" s="12"/>
      <c r="D74"/>
      <c r="E74" s="13">
        <f t="shared" si="1"/>
        <v>0</v>
      </c>
    </row>
    <row r="75" spans="1:5" x14ac:dyDescent="0.3">
      <c r="A75" s="11" t="s">
        <v>8</v>
      </c>
      <c r="B75" s="14" t="s">
        <v>78</v>
      </c>
      <c r="C75" s="12">
        <v>1000</v>
      </c>
      <c r="D75"/>
      <c r="E75" s="13">
        <f t="shared" si="1"/>
        <v>0</v>
      </c>
    </row>
    <row r="76" spans="1:5" x14ac:dyDescent="0.3">
      <c r="A76" s="11"/>
      <c r="B76" s="14"/>
      <c r="C76" s="12"/>
      <c r="D76"/>
    </row>
    <row r="77" spans="1:5" x14ac:dyDescent="0.3">
      <c r="A77" s="15">
        <v>8</v>
      </c>
      <c r="B77" s="7" t="s">
        <v>96</v>
      </c>
      <c r="C77" s="9"/>
      <c r="D77" s="8"/>
      <c r="E77" s="10">
        <f t="shared" ref="E77:E84" si="2">D77*C77</f>
        <v>0</v>
      </c>
    </row>
    <row r="78" spans="1:5" x14ac:dyDescent="0.3">
      <c r="A78" s="48" t="s">
        <v>6</v>
      </c>
      <c r="B78" s="14" t="s">
        <v>97</v>
      </c>
      <c r="C78">
        <v>100</v>
      </c>
      <c r="E78" s="13">
        <f t="shared" si="2"/>
        <v>0</v>
      </c>
    </row>
    <row r="79" spans="1:5" x14ac:dyDescent="0.3">
      <c r="A79" s="11" t="s">
        <v>8</v>
      </c>
      <c r="B79" s="14" t="s">
        <v>99</v>
      </c>
      <c r="C79">
        <v>100</v>
      </c>
      <c r="E79" s="13">
        <f t="shared" si="2"/>
        <v>0</v>
      </c>
    </row>
    <row r="80" spans="1:5" x14ac:dyDescent="0.3">
      <c r="A80" s="11" t="s">
        <v>10</v>
      </c>
      <c r="B80" s="14" t="s">
        <v>100</v>
      </c>
      <c r="C80">
        <v>100</v>
      </c>
      <c r="E80" s="13">
        <f t="shared" si="2"/>
        <v>0</v>
      </c>
    </row>
    <row r="81" spans="1:5" x14ac:dyDescent="0.3">
      <c r="A81" s="11" t="s">
        <v>12</v>
      </c>
      <c r="B81" s="14" t="s">
        <v>101</v>
      </c>
      <c r="C81">
        <v>2000</v>
      </c>
      <c r="E81" s="13">
        <f t="shared" si="2"/>
        <v>0</v>
      </c>
    </row>
    <row r="82" spans="1:5" x14ac:dyDescent="0.3">
      <c r="A82" s="11" t="s">
        <v>14</v>
      </c>
      <c r="B82" s="14" t="s">
        <v>104</v>
      </c>
      <c r="C82">
        <v>4000</v>
      </c>
      <c r="E82" s="13">
        <f t="shared" si="2"/>
        <v>0</v>
      </c>
    </row>
    <row r="83" spans="1:5" x14ac:dyDescent="0.3">
      <c r="A83" s="11" t="s">
        <v>22</v>
      </c>
      <c r="B83" s="14" t="s">
        <v>102</v>
      </c>
      <c r="C83">
        <v>1700</v>
      </c>
      <c r="E83" s="13">
        <f t="shared" si="2"/>
        <v>0</v>
      </c>
    </row>
    <row r="84" spans="1:5" x14ac:dyDescent="0.3">
      <c r="A84" s="11" t="s">
        <v>24</v>
      </c>
      <c r="B84" s="14" t="s">
        <v>103</v>
      </c>
      <c r="C84">
        <v>1200</v>
      </c>
      <c r="E84" s="13">
        <f t="shared" si="2"/>
        <v>0</v>
      </c>
    </row>
    <row r="85" spans="1:5" x14ac:dyDescent="0.3">
      <c r="A85" s="48"/>
      <c r="B85" s="14"/>
    </row>
    <row r="87" spans="1:5" x14ac:dyDescent="0.3">
      <c r="B87" t="s">
        <v>80</v>
      </c>
      <c r="E87" s="13">
        <f>SUM(E2:E86)</f>
        <v>5300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88"/>
  <sheetViews>
    <sheetView topLeftCell="A68" workbookViewId="0">
      <selection activeCell="E78" sqref="E78:E86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  <c r="M3" s="33"/>
    </row>
    <row r="4" spans="1:13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  <c r="M4" s="33"/>
    </row>
    <row r="5" spans="1:13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  <c r="M5" s="33"/>
    </row>
    <row r="6" spans="1:13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/>
      <c r="C8" s="12"/>
      <c r="D8"/>
      <c r="E8" s="13">
        <f t="shared" si="0"/>
        <v>0</v>
      </c>
      <c r="M8" s="33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M9" s="33"/>
    </row>
    <row r="10" spans="1:13" x14ac:dyDescent="0.3">
      <c r="A10" s="11" t="s">
        <v>6</v>
      </c>
      <c r="B10" t="s">
        <v>17</v>
      </c>
      <c r="C10" s="51">
        <v>400</v>
      </c>
      <c r="D10"/>
      <c r="E10" s="13">
        <f>D10*C10</f>
        <v>0</v>
      </c>
      <c r="M10" s="33"/>
    </row>
    <row r="11" spans="1:13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  <c r="M11" s="33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 s="33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 s="33"/>
    </row>
    <row r="14" spans="1:13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  <c r="M14" s="33"/>
    </row>
    <row r="15" spans="1:13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  <c r="M15" s="33"/>
    </row>
    <row r="16" spans="1:13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  <c r="M16" s="33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M17" s="33"/>
    </row>
    <row r="18" spans="1:13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  <c r="M18" s="33"/>
    </row>
    <row r="19" spans="1:13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  <c r="M19" s="33"/>
    </row>
    <row r="20" spans="1:13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  <c r="M20" s="33"/>
    </row>
    <row r="21" spans="1:13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  <c r="M21" s="33"/>
    </row>
    <row r="22" spans="1:13" x14ac:dyDescent="0.3">
      <c r="A22" s="11" t="s">
        <v>66</v>
      </c>
      <c r="B22" t="s">
        <v>91</v>
      </c>
      <c r="C22" s="12">
        <v>300</v>
      </c>
      <c r="D22"/>
      <c r="M22" s="33"/>
    </row>
    <row r="23" spans="1:13" x14ac:dyDescent="0.3">
      <c r="A23" s="11" t="s">
        <v>68</v>
      </c>
      <c r="B23" t="s">
        <v>92</v>
      </c>
      <c r="C23" s="12">
        <v>300</v>
      </c>
      <c r="D23"/>
      <c r="M23" s="33"/>
    </row>
    <row r="24" spans="1:13" x14ac:dyDescent="0.3">
      <c r="A24" s="11" t="s">
        <v>70</v>
      </c>
      <c r="B24" t="s">
        <v>94</v>
      </c>
      <c r="C24" s="12">
        <v>500</v>
      </c>
      <c r="D24"/>
      <c r="M24" s="33"/>
    </row>
    <row r="25" spans="1:13" x14ac:dyDescent="0.3">
      <c r="A25" s="11" t="s">
        <v>72</v>
      </c>
      <c r="B25" t="s">
        <v>93</v>
      </c>
      <c r="C25" s="12">
        <v>400</v>
      </c>
      <c r="D25"/>
      <c r="M25" s="33"/>
    </row>
    <row r="26" spans="1:13" x14ac:dyDescent="0.3">
      <c r="A26" s="11"/>
      <c r="C26" s="12"/>
      <c r="D26"/>
      <c r="E26" s="13">
        <f t="shared" si="0"/>
        <v>0</v>
      </c>
      <c r="M26" s="33"/>
    </row>
    <row r="27" spans="1:13" x14ac:dyDescent="0.3">
      <c r="A27" s="6">
        <v>3</v>
      </c>
      <c r="B27" s="7" t="s">
        <v>36</v>
      </c>
      <c r="C27" s="9"/>
      <c r="D27" s="8"/>
      <c r="E27" s="10">
        <f t="shared" si="0"/>
        <v>0</v>
      </c>
      <c r="M27" s="33"/>
    </row>
    <row r="28" spans="1:13" x14ac:dyDescent="0.3">
      <c r="A28" s="11" t="s">
        <v>6</v>
      </c>
      <c r="B28" s="52" t="s">
        <v>37</v>
      </c>
      <c r="C28" s="53">
        <v>100</v>
      </c>
      <c r="D28" s="52">
        <v>16</v>
      </c>
      <c r="E28" s="13">
        <f t="shared" si="0"/>
        <v>1600</v>
      </c>
      <c r="M28" s="33"/>
    </row>
    <row r="29" spans="1:13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  <c r="M29" s="33"/>
    </row>
    <row r="30" spans="1:13" x14ac:dyDescent="0.3">
      <c r="A30" s="11" t="s">
        <v>10</v>
      </c>
      <c r="B30" t="s">
        <v>39</v>
      </c>
      <c r="C30" s="12"/>
      <c r="D30"/>
      <c r="E30" s="13">
        <f t="shared" si="0"/>
        <v>0</v>
      </c>
      <c r="M30" s="33"/>
    </row>
    <row r="31" spans="1:13" x14ac:dyDescent="0.3">
      <c r="A31" s="11" t="s">
        <v>12</v>
      </c>
      <c r="B31" t="s">
        <v>40</v>
      </c>
      <c r="C31" s="12"/>
      <c r="D31"/>
      <c r="E31" s="13">
        <f t="shared" si="0"/>
        <v>0</v>
      </c>
      <c r="M31" s="33"/>
    </row>
    <row r="32" spans="1:13" x14ac:dyDescent="0.3">
      <c r="A32" s="11" t="s">
        <v>14</v>
      </c>
      <c r="B32" t="s">
        <v>41</v>
      </c>
      <c r="C32" s="12"/>
      <c r="D32"/>
      <c r="E32" s="13">
        <f t="shared" si="0"/>
        <v>0</v>
      </c>
      <c r="M32" s="33"/>
    </row>
    <row r="33" spans="1:13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  <c r="M33" s="33"/>
    </row>
    <row r="34" spans="1:13" x14ac:dyDescent="0.3">
      <c r="A34" s="11" t="s">
        <v>24</v>
      </c>
      <c r="B34" t="s">
        <v>83</v>
      </c>
      <c r="C34" s="12">
        <v>3400</v>
      </c>
      <c r="D34"/>
      <c r="E34" s="13">
        <f t="shared" si="0"/>
        <v>0</v>
      </c>
      <c r="J34" s="32"/>
      <c r="M34" s="33"/>
    </row>
    <row r="35" spans="1:13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  <c r="M35" s="33"/>
    </row>
    <row r="36" spans="1:13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  <c r="M36" s="33"/>
    </row>
    <row r="37" spans="1:13" x14ac:dyDescent="0.3">
      <c r="A37" s="11" t="s">
        <v>30</v>
      </c>
      <c r="B37" t="s">
        <v>90</v>
      </c>
      <c r="C37" s="12">
        <v>9000</v>
      </c>
      <c r="D37"/>
      <c r="E37" s="13">
        <f t="shared" si="0"/>
        <v>0</v>
      </c>
      <c r="M37" s="33"/>
    </row>
    <row r="38" spans="1:13" x14ac:dyDescent="0.3">
      <c r="A38" s="11" t="s">
        <v>32</v>
      </c>
      <c r="B38" t="s">
        <v>95</v>
      </c>
      <c r="C38" s="51">
        <v>500</v>
      </c>
      <c r="D38"/>
      <c r="E38" s="13">
        <f t="shared" si="0"/>
        <v>0</v>
      </c>
      <c r="M38" s="33"/>
    </row>
    <row r="39" spans="1:13" x14ac:dyDescent="0.3">
      <c r="C39" s="12"/>
      <c r="D39"/>
      <c r="E39" s="13">
        <f t="shared" si="0"/>
        <v>0</v>
      </c>
      <c r="M39" s="33"/>
    </row>
    <row r="40" spans="1:13" x14ac:dyDescent="0.3">
      <c r="A40" s="6">
        <v>4</v>
      </c>
      <c r="B40" s="7" t="s">
        <v>44</v>
      </c>
      <c r="C40" s="9"/>
      <c r="D40" s="8"/>
      <c r="E40" s="10">
        <f t="shared" si="0"/>
        <v>0</v>
      </c>
      <c r="M40" s="33"/>
    </row>
    <row r="41" spans="1:13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  <c r="M41" s="33"/>
    </row>
    <row r="42" spans="1:13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  <c r="M42" s="33"/>
    </row>
    <row r="43" spans="1:13" x14ac:dyDescent="0.3">
      <c r="A43" s="11" t="s">
        <v>10</v>
      </c>
      <c r="B43" t="s">
        <v>47</v>
      </c>
      <c r="C43" s="12"/>
      <c r="E43" s="13">
        <f>D44*C43</f>
        <v>0</v>
      </c>
      <c r="M43" s="33"/>
    </row>
    <row r="44" spans="1:13" x14ac:dyDescent="0.3">
      <c r="A44" s="11" t="s">
        <v>12</v>
      </c>
      <c r="B44" t="s">
        <v>48</v>
      </c>
      <c r="C44" s="12"/>
      <c r="D44"/>
      <c r="E44" s="13">
        <f>D45*C44</f>
        <v>0</v>
      </c>
      <c r="M44" s="33"/>
    </row>
    <row r="45" spans="1:13" x14ac:dyDescent="0.3">
      <c r="A45" s="11" t="s">
        <v>14</v>
      </c>
      <c r="B45" t="s">
        <v>49</v>
      </c>
      <c r="C45" s="12"/>
      <c r="D45"/>
      <c r="E45" s="13">
        <f t="shared" ref="E45:E86" si="1">D45*C45</f>
        <v>0</v>
      </c>
      <c r="M45" s="33"/>
    </row>
    <row r="46" spans="1:13" x14ac:dyDescent="0.3">
      <c r="C46" s="12"/>
      <c r="D46"/>
      <c r="E46" s="13">
        <f t="shared" si="1"/>
        <v>0</v>
      </c>
      <c r="M46" s="33"/>
    </row>
    <row r="47" spans="1:13" x14ac:dyDescent="0.3">
      <c r="A47" s="6">
        <v>5</v>
      </c>
      <c r="B47" s="7" t="s">
        <v>50</v>
      </c>
      <c r="C47" s="9"/>
      <c r="D47" s="8"/>
      <c r="E47" s="10">
        <f t="shared" si="1"/>
        <v>0</v>
      </c>
      <c r="M47" s="33"/>
    </row>
    <row r="48" spans="1:13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  <c r="M48" s="33"/>
    </row>
    <row r="49" spans="1:13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  <c r="M49" s="33"/>
    </row>
    <row r="50" spans="1:13" x14ac:dyDescent="0.3">
      <c r="A50" s="11"/>
      <c r="C50" s="12"/>
      <c r="D50"/>
      <c r="E50" s="13">
        <f t="shared" si="1"/>
        <v>0</v>
      </c>
      <c r="M50" s="33"/>
    </row>
    <row r="51" spans="1:13" x14ac:dyDescent="0.3">
      <c r="A51" s="6">
        <v>6</v>
      </c>
      <c r="B51" s="7" t="s">
        <v>53</v>
      </c>
      <c r="C51" s="9"/>
      <c r="D51" s="8"/>
      <c r="E51" s="10">
        <f t="shared" si="1"/>
        <v>0</v>
      </c>
      <c r="M51" s="33"/>
    </row>
    <row r="52" spans="1:13" x14ac:dyDescent="0.3">
      <c r="A52" s="11" t="s">
        <v>6</v>
      </c>
      <c r="B52" s="14" t="s">
        <v>54</v>
      </c>
      <c r="C52" s="12">
        <v>2500</v>
      </c>
      <c r="D52">
        <v>1</v>
      </c>
      <c r="E52" s="13">
        <f t="shared" si="1"/>
        <v>2500</v>
      </c>
      <c r="M52" s="33"/>
    </row>
    <row r="53" spans="1:13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  <c r="M53" s="33"/>
    </row>
    <row r="54" spans="1:13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  <c r="M54" s="33"/>
    </row>
    <row r="55" spans="1:13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  <c r="M55" s="33"/>
    </row>
    <row r="56" spans="1:13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  <c r="M56" s="33"/>
    </row>
    <row r="57" spans="1:13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  <c r="M57" s="33"/>
    </row>
    <row r="58" spans="1:13" x14ac:dyDescent="0.3">
      <c r="A58" s="11" t="s">
        <v>24</v>
      </c>
      <c r="B58" s="14" t="s">
        <v>60</v>
      </c>
      <c r="C58" s="12">
        <v>1300</v>
      </c>
      <c r="D58"/>
      <c r="E58" s="13">
        <f t="shared" si="1"/>
        <v>0</v>
      </c>
      <c r="M58" s="33"/>
    </row>
    <row r="59" spans="1:13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  <c r="M59" s="33"/>
    </row>
    <row r="60" spans="1:13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  <c r="M60" s="33"/>
    </row>
    <row r="61" spans="1:13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  <c r="M61" s="33"/>
    </row>
    <row r="62" spans="1:13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  <c r="M62" s="33"/>
    </row>
    <row r="63" spans="1:13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  <c r="M63" s="33"/>
    </row>
    <row r="64" spans="1:13" x14ac:dyDescent="0.3">
      <c r="A64" s="11" t="s">
        <v>66</v>
      </c>
      <c r="B64" s="14" t="s">
        <v>67</v>
      </c>
      <c r="C64" s="12">
        <v>1</v>
      </c>
      <c r="D64"/>
      <c r="E64" s="13">
        <f t="shared" si="1"/>
        <v>0</v>
      </c>
      <c r="M64" s="33"/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  <c r="M65" s="33"/>
    </row>
    <row r="66" spans="1:13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  <c r="M66" s="33"/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  <c r="M67" s="33"/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  <c r="M68" s="33"/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M69" s="33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M70" s="33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 s="33"/>
    </row>
    <row r="72" spans="1:13" x14ac:dyDescent="0.3">
      <c r="C72" s="12"/>
      <c r="D72"/>
      <c r="E72" s="13">
        <f t="shared" si="1"/>
        <v>0</v>
      </c>
      <c r="M72" s="33"/>
    </row>
    <row r="73" spans="1:13" x14ac:dyDescent="0.3">
      <c r="A73" s="15">
        <v>7</v>
      </c>
      <c r="B73" s="7" t="s">
        <v>76</v>
      </c>
      <c r="C73" s="9"/>
      <c r="D73" s="8"/>
      <c r="E73" s="10">
        <f t="shared" si="1"/>
        <v>0</v>
      </c>
      <c r="M73" s="33"/>
    </row>
    <row r="74" spans="1:13" x14ac:dyDescent="0.3">
      <c r="A74" s="11" t="s">
        <v>6</v>
      </c>
      <c r="B74" s="14" t="s">
        <v>77</v>
      </c>
      <c r="C74" s="12"/>
      <c r="D74"/>
      <c r="E74" s="13">
        <f t="shared" si="1"/>
        <v>0</v>
      </c>
      <c r="M74" s="33"/>
    </row>
    <row r="75" spans="1:13" x14ac:dyDescent="0.3">
      <c r="A75" s="11" t="s">
        <v>8</v>
      </c>
      <c r="B75" s="14" t="s">
        <v>78</v>
      </c>
      <c r="C75" s="12">
        <v>1</v>
      </c>
      <c r="D75"/>
      <c r="E75" s="13">
        <f t="shared" si="1"/>
        <v>0</v>
      </c>
      <c r="M75" s="33"/>
    </row>
    <row r="76" spans="1:13" x14ac:dyDescent="0.3">
      <c r="A76" s="11"/>
      <c r="B76" s="14"/>
      <c r="C76" s="12"/>
      <c r="D76"/>
      <c r="E76" s="13">
        <f t="shared" si="1"/>
        <v>0</v>
      </c>
      <c r="M76" s="33"/>
    </row>
    <row r="77" spans="1:13" x14ac:dyDescent="0.3">
      <c r="A77" s="15">
        <v>8</v>
      </c>
      <c r="B77" s="7" t="s">
        <v>96</v>
      </c>
      <c r="C77" s="9"/>
      <c r="D77" s="8"/>
      <c r="E77" s="10">
        <f t="shared" ref="E77" si="2">D77*C77</f>
        <v>0</v>
      </c>
      <c r="M77" s="33"/>
    </row>
    <row r="78" spans="1:13" x14ac:dyDescent="0.3">
      <c r="A78" s="48" t="s">
        <v>6</v>
      </c>
      <c r="B78" s="14" t="s">
        <v>97</v>
      </c>
      <c r="C78">
        <v>100</v>
      </c>
      <c r="E78" s="13">
        <f t="shared" si="1"/>
        <v>0</v>
      </c>
      <c r="M78" s="33"/>
    </row>
    <row r="79" spans="1:13" x14ac:dyDescent="0.3">
      <c r="A79" s="11" t="s">
        <v>8</v>
      </c>
      <c r="B79" s="14" t="s">
        <v>99</v>
      </c>
      <c r="C79">
        <v>100</v>
      </c>
      <c r="E79" s="13">
        <f t="shared" si="1"/>
        <v>0</v>
      </c>
      <c r="M79" s="33"/>
    </row>
    <row r="80" spans="1:13" x14ac:dyDescent="0.3">
      <c r="A80" s="11" t="s">
        <v>10</v>
      </c>
      <c r="B80" s="14" t="s">
        <v>100</v>
      </c>
      <c r="C80">
        <v>100</v>
      </c>
      <c r="E80" s="13">
        <f t="shared" si="1"/>
        <v>0</v>
      </c>
      <c r="M80" s="33"/>
    </row>
    <row r="81" spans="1:13" x14ac:dyDescent="0.3">
      <c r="A81" s="11" t="s">
        <v>12</v>
      </c>
      <c r="B81" s="14" t="s">
        <v>101</v>
      </c>
      <c r="C81">
        <v>2000</v>
      </c>
      <c r="E81" s="13">
        <f t="shared" si="1"/>
        <v>0</v>
      </c>
      <c r="M81" s="33"/>
    </row>
    <row r="82" spans="1:13" x14ac:dyDescent="0.3">
      <c r="A82" s="11" t="s">
        <v>14</v>
      </c>
      <c r="B82" s="14" t="s">
        <v>104</v>
      </c>
      <c r="C82">
        <v>4000</v>
      </c>
      <c r="E82" s="13">
        <f t="shared" si="1"/>
        <v>0</v>
      </c>
      <c r="M82" s="33"/>
    </row>
    <row r="83" spans="1:13" x14ac:dyDescent="0.3">
      <c r="A83" s="11" t="s">
        <v>22</v>
      </c>
      <c r="B83" s="14" t="s">
        <v>102</v>
      </c>
      <c r="C83">
        <v>1700</v>
      </c>
      <c r="E83" s="13">
        <f t="shared" si="1"/>
        <v>0</v>
      </c>
      <c r="M83" s="33"/>
    </row>
    <row r="84" spans="1:13" x14ac:dyDescent="0.3">
      <c r="A84" s="11" t="s">
        <v>24</v>
      </c>
      <c r="B84" s="14" t="s">
        <v>103</v>
      </c>
      <c r="C84">
        <v>1200</v>
      </c>
      <c r="E84" s="13">
        <f t="shared" si="1"/>
        <v>0</v>
      </c>
      <c r="M84" s="33"/>
    </row>
    <row r="85" spans="1:13" x14ac:dyDescent="0.3">
      <c r="A85" s="48"/>
      <c r="B85" s="14"/>
      <c r="E85" s="13">
        <f t="shared" si="1"/>
        <v>0</v>
      </c>
      <c r="M85" s="33"/>
    </row>
    <row r="86" spans="1:13" x14ac:dyDescent="0.3">
      <c r="E86" s="13">
        <f t="shared" si="1"/>
        <v>0</v>
      </c>
      <c r="M86" s="33"/>
    </row>
    <row r="87" spans="1:13" x14ac:dyDescent="0.3">
      <c r="M87" s="33"/>
    </row>
    <row r="88" spans="1:13" x14ac:dyDescent="0.3">
      <c r="B88" t="s">
        <v>80</v>
      </c>
      <c r="E88" s="13">
        <f>SUM(E2:E78)</f>
        <v>4100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Expence-1</vt:lpstr>
      <vt:lpstr>Expence-2</vt:lpstr>
      <vt:lpstr>Expence-3</vt:lpstr>
      <vt:lpstr>Expence-4</vt:lpstr>
      <vt:lpstr>Expence-5</vt:lpstr>
      <vt:lpstr>Expence-6</vt:lpstr>
      <vt:lpstr>Expence-7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2024-03-14T18:43:36Z</dcterms:modified>
</cp:coreProperties>
</file>
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Accounter\csv_files\Purchases\01-2024\"/>
    </mc:Choice>
  </mc:AlternateContent>
  <xr:revisionPtr revIDLastSave="0" documentId="13_ncr:1_{F2366EDF-3E16-47F4-8999-5153440D4262}" xr6:coauthVersionLast="47" xr6:coauthVersionMax="47" xr10:uidLastSave="{00000000-0000-0000-0000-000000000000}"/>
  <bookViews>
    <workbookView xWindow="5052" yWindow="804" windowWidth="17280" windowHeight="8880" tabRatio="658" firstSheet="1" activeTab="5" xr2:uid="{00000000-000D-0000-FFFF-FFFF00000000}"/>
  </bookViews>
  <sheets>
    <sheet name="Summary" sheetId="8" r:id="rId1"/>
    <sheet name="Expence-15" sheetId="1" r:id="rId2"/>
    <sheet name="Expence-16" sheetId="2" r:id="rId3"/>
    <sheet name="Expence-17" sheetId="3" r:id="rId4"/>
    <sheet name="Expence-18" sheetId="4" r:id="rId5"/>
    <sheet name="Expence-19" sheetId="5" r:id="rId6"/>
    <sheet name="Expence-20" sheetId="6" r:id="rId7"/>
    <sheet name="Expence-21" sheetId="7" r:id="rId8"/>
  </sheets>
  <definedNames>
    <definedName name="_xlnm.Print_Area" localSheetId="0">Summary!$A$1:$J$114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8" l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J4" i="8" l="1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E112" i="6"/>
  <c r="E75" i="7"/>
  <c r="E76" i="7"/>
  <c r="E74" i="4"/>
  <c r="E75" i="4"/>
  <c r="E76" i="4"/>
  <c r="E75" i="3"/>
  <c r="E76" i="3"/>
  <c r="E77" i="3"/>
  <c r="E75" i="2"/>
  <c r="E76" i="2"/>
  <c r="E75" i="1"/>
  <c r="E76" i="1"/>
  <c r="C75" i="1"/>
  <c r="C75" i="2"/>
  <c r="C75" i="7"/>
  <c r="C75" i="3"/>
  <c r="C75" i="4"/>
  <c r="E4" i="7"/>
  <c r="E5" i="7"/>
  <c r="E6" i="7"/>
  <c r="E7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G75" i="8" s="1"/>
  <c r="J75" i="8" s="1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4" i="4"/>
  <c r="E5" i="4"/>
  <c r="E6" i="4"/>
  <c r="E7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20" i="1"/>
  <c r="E21" i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7" i="1"/>
  <c r="E78" i="1"/>
  <c r="E79" i="1"/>
  <c r="E80" i="1"/>
  <c r="E81" i="1"/>
  <c r="E83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C8" i="7"/>
  <c r="E8" i="7" s="1"/>
  <c r="C8" i="6"/>
  <c r="C8" i="4"/>
  <c r="E8" i="4" s="1"/>
  <c r="C8" i="3"/>
  <c r="C8" i="2"/>
  <c r="C8" i="1"/>
  <c r="C29" i="8" l="1"/>
  <c r="C114" i="8" s="1"/>
  <c r="C72" i="6"/>
  <c r="C16" i="5"/>
  <c r="C33" i="5"/>
  <c r="C69" i="5"/>
  <c r="C8" i="5"/>
  <c r="C6" i="5"/>
  <c r="C3" i="5"/>
  <c r="C4" i="5"/>
  <c r="C19" i="5"/>
  <c r="D21" i="5"/>
  <c r="C21" i="5"/>
  <c r="C5" i="5"/>
  <c r="C17" i="5"/>
  <c r="C22" i="5"/>
  <c r="C25" i="5"/>
  <c r="C11" i="5"/>
  <c r="C20" i="5"/>
  <c r="C84" i="1"/>
  <c r="E84" i="1" s="1"/>
  <c r="C40" i="1"/>
  <c r="E40" i="1" s="1"/>
  <c r="C61" i="1"/>
  <c r="E61" i="1" s="1"/>
  <c r="C19" i="1"/>
  <c r="E19" i="1" s="1"/>
  <c r="C23" i="1"/>
  <c r="E23" i="1" s="1"/>
  <c r="C4" i="1"/>
  <c r="E4" i="1" s="1"/>
  <c r="C82" i="1"/>
  <c r="E82" i="1" s="1"/>
  <c r="J29" i="8" l="1"/>
  <c r="E3" i="2"/>
  <c r="E111" i="2" l="1"/>
  <c r="D3" i="8"/>
  <c r="E3" i="7" l="1"/>
  <c r="I3" i="8" s="1"/>
  <c r="E2" i="7"/>
  <c r="I114" i="8" l="1"/>
  <c r="E111" i="7"/>
  <c r="E3" i="6"/>
  <c r="H3" i="8" s="1"/>
  <c r="H114" i="8" s="1"/>
  <c r="E2" i="6"/>
  <c r="E3" i="1" l="1"/>
  <c r="C3" i="8" s="1"/>
  <c r="E2" i="1"/>
  <c r="E115" i="1" l="1"/>
  <c r="E3" i="5"/>
  <c r="G3" i="8" s="1"/>
  <c r="E2" i="5"/>
  <c r="G114" i="8" l="1"/>
  <c r="E110" i="5"/>
  <c r="E3" i="4"/>
  <c r="F3" i="8" s="1"/>
  <c r="E2" i="4"/>
  <c r="E113" i="4" l="1"/>
  <c r="E3" i="3"/>
  <c r="E2" i="3"/>
  <c r="E113" i="3" l="1"/>
  <c r="F114" i="8"/>
  <c r="E3" i="8"/>
  <c r="J3" i="8" l="1"/>
  <c r="J114" i="8" s="1"/>
  <c r="E114" i="8"/>
</calcChain>
</file>

<file path=xl/sharedStrings.xml><?xml version="1.0" encoding="utf-8"?>
<sst xmlns="http://schemas.openxmlformats.org/spreadsheetml/2006/main" count="1591" uniqueCount="143">
  <si>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</si>
  <si>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</si>
  <si>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</si>
  <si>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</si>
  <si>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</si>
  <si>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</si>
  <si>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</si>
  <si>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</si>
  <si>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</si>
  <si>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</si>
  <si>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</si>
  <si>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</si>
  <si>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</si>
  <si>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</si>
  <si>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</si>
  <si>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</si>
  <si>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</si>
  <si>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</si>
  <si>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</si>
  <si>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</si>
  <si>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</si>
  <si>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</si>
  <si>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</si>
  <si>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</si>
  <si>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</si>
  <si>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</si>
  <si>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</si>
  <si>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</si>
  <si>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</si>
  <si>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</si>
  <si>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</si>
  <si>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</si>
  <si>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</si>
  <si>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</si>
  <si>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</si>
  <si>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</si>
  <si>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</si>
  <si>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</si>
  <si>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</si>
  <si>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</si>
  <si>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</si>
  <si>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</si>
  <si>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</si>
  <si>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</si>
  <si>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</si>
  <si>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</si>
  <si>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</si>
  <si>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</si>
  <si>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</si>
  <si>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</si>
  <si>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</si>
  <si>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</si>
  <si>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</si>
  <si>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</si>
  <si>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</si>
  <si>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</si>
  <si>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</si>
  <si>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</si>
  <si>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</si>
  <si>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</si>
  <si>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</si>
  <si>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</si>
  <si>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</si>
  <si>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</si>
  <si>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</si>
  <si>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</si>
  <si>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</si>
  <si>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</si>
  <si>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</si>
  <si>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</si>
  <si>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</si>
  <si>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</si>
  <si>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</si>
  <si>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</si>
  <si>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</si>
  <si>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</si>
  <si>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</si>
  <si>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</si>
  <si>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</si>
  <si>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</si>
  <si>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</si>
  <si>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</si>
  <si>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</si>
  <si>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</si>
  <si>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</si>
  <si>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</si>
  <si>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</si>
  <si>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</si>
  <si>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</si>
  <si>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</si>
  <si>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</si>
  <si>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</si>
  <si>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</si>
  <si>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</si>
  <si>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</si>
  <si>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</si>
  <si>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</si>
  <si>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Car Petrol</t>
  </si>
  <si>
    <t>Egg</t>
  </si>
  <si>
    <t>Intestine</t>
  </si>
  <si>
    <t>Pepper &amp; Tomatoes</t>
  </si>
  <si>
    <t>Vegetable Oil</t>
  </si>
  <si>
    <t>Radio repair</t>
  </si>
  <si>
    <t>Yam</t>
  </si>
  <si>
    <t>Pepper soup spice</t>
  </si>
  <si>
    <t>Ginger &amp; Garlic</t>
  </si>
  <si>
    <t>All pepper</t>
  </si>
  <si>
    <t>Maggi</t>
  </si>
  <si>
    <t>Salt</t>
  </si>
  <si>
    <t>Sponge</t>
  </si>
  <si>
    <t>Onion</t>
  </si>
  <si>
    <t>Iru</t>
  </si>
  <si>
    <t>POS</t>
  </si>
  <si>
    <t>Feeding</t>
  </si>
  <si>
    <t>Bike</t>
  </si>
  <si>
    <t>Expences on Ponmo</t>
  </si>
  <si>
    <t>Petrol</t>
  </si>
  <si>
    <t>Origin bear</t>
  </si>
  <si>
    <t>u</t>
  </si>
  <si>
    <t>Skirt</t>
  </si>
  <si>
    <t>Ice block</t>
  </si>
  <si>
    <t>Tray</t>
  </si>
  <si>
    <t>Cup</t>
  </si>
  <si>
    <t>Plate</t>
  </si>
  <si>
    <t>Toothpick</t>
  </si>
  <si>
    <t>Handkerchief</t>
  </si>
  <si>
    <t>Tennis egg</t>
  </si>
  <si>
    <t>Tissue papper</t>
  </si>
  <si>
    <t>Internet cable</t>
  </si>
  <si>
    <t>Pepper</t>
  </si>
  <si>
    <t>v</t>
  </si>
  <si>
    <t>w</t>
  </si>
  <si>
    <t>x</t>
  </si>
  <si>
    <t>y</t>
  </si>
  <si>
    <t>z</t>
  </si>
  <si>
    <t>A</t>
  </si>
  <si>
    <t>15/01/2024</t>
  </si>
  <si>
    <t>16/01/2024</t>
  </si>
  <si>
    <t>17/01/2024</t>
  </si>
  <si>
    <t>18/01/2024</t>
  </si>
  <si>
    <t>19/01/2024</t>
  </si>
  <si>
    <t>20/01/2024</t>
  </si>
  <si>
    <t>21/01/2024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</si>
</sst>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43" fontId="5" fillId="4" borderId="0" xfId="1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14"/>
  <sheetViews>
    <sheetView view="pageBreakPreview" topLeftCell="A93" zoomScale="86" zoomScaleNormal="100" zoomScaleSheetLayoutView="106" workbookViewId="0">
      <selection activeCell="H110" sqref="H110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 t="s">
        <v>136</v>
      </c>
      <c r="D1" s="35" t="s">
        <v>137</v>
      </c>
      <c r="E1" s="35" t="s">
        <v>138</v>
      </c>
      <c r="F1" s="35" t="s">
        <v>139</v>
      </c>
      <c r="G1" s="35" t="s">
        <v>140</v>
      </c>
      <c r="H1" s="35" t="s">
        <v>141</v>
      </c>
      <c r="I1" s="35" t="s">
        <v>142</v>
      </c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'Expence-15'!E3</f>
        <v>4700</v>
      </c>
      <c r="D3" s="36">
        <f>'Expence-16'!E3</f>
        <v>0</v>
      </c>
      <c r="E3" s="36">
        <f>'Expence-17'!E3</f>
        <v>0</v>
      </c>
      <c r="F3" s="36">
        <f>'Expence-18'!E3</f>
        <v>0</v>
      </c>
      <c r="G3" s="36">
        <f>'Expence-19'!E3</f>
        <v>14100</v>
      </c>
      <c r="H3" s="36">
        <f>'Expence-20'!E3</f>
        <v>0</v>
      </c>
      <c r="I3" s="36">
        <f>'Expence-21'!E3</f>
        <v>0</v>
      </c>
      <c r="J3" s="34">
        <f>SUM(C3:I3)</f>
        <v>18800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'Expence-15'!E4</f>
        <v>9600</v>
      </c>
      <c r="D4" s="36">
        <f>'Expence-16'!E4</f>
        <v>0</v>
      </c>
      <c r="E4" s="36">
        <f>'Expence-17'!E4</f>
        <v>0</v>
      </c>
      <c r="F4" s="36">
        <f>'Expence-18'!E4</f>
        <v>0</v>
      </c>
      <c r="G4" s="36">
        <f>'Expence-19'!E4</f>
        <v>19200</v>
      </c>
      <c r="H4" s="36">
        <f>'Expence-20'!E4</f>
        <v>0</v>
      </c>
      <c r="I4" s="36">
        <f>'Expence-21'!E4</f>
        <v>0</v>
      </c>
      <c r="J4" s="34">
        <f t="shared" ref="J4:J67" si="0">SUM(C4:I4)</f>
        <v>28800</v>
      </c>
    </row>
    <row r="5" spans="1:15" ht="15" thickBot="1" x14ac:dyDescent="0.35">
      <c r="A5" s="26" t="s">
        <v>10</v>
      </c>
      <c r="B5" s="27" t="s">
        <v>11</v>
      </c>
      <c r="C5" s="36">
        <f>'Expence-15'!E5</f>
        <v>0</v>
      </c>
      <c r="D5" s="36">
        <f>'Expence-16'!E5</f>
        <v>0</v>
      </c>
      <c r="E5" s="36">
        <f>'Expence-17'!E5</f>
        <v>0</v>
      </c>
      <c r="F5" s="36">
        <f>'Expence-18'!E5</f>
        <v>0</v>
      </c>
      <c r="G5" s="36">
        <f>'Expence-19'!E5</f>
        <v>21300</v>
      </c>
      <c r="H5" s="36">
        <f>'Expence-20'!E5</f>
        <v>0</v>
      </c>
      <c r="I5" s="36">
        <f>'Expence-21'!E5</f>
        <v>0</v>
      </c>
      <c r="J5" s="34">
        <f t="shared" si="0"/>
        <v>21300</v>
      </c>
    </row>
    <row r="6" spans="1:15" ht="15" thickBot="1" x14ac:dyDescent="0.35">
      <c r="A6" s="26" t="s">
        <v>12</v>
      </c>
      <c r="B6" s="27" t="s">
        <v>13</v>
      </c>
      <c r="C6" s="36">
        <f>'Expence-15'!E6</f>
        <v>0</v>
      </c>
      <c r="D6" s="36">
        <f>'Expence-16'!E6</f>
        <v>0</v>
      </c>
      <c r="E6" s="36">
        <f>'Expence-17'!E6</f>
        <v>0</v>
      </c>
      <c r="F6" s="36">
        <f>'Expence-18'!E6</f>
        <v>0</v>
      </c>
      <c r="G6" s="36">
        <f>'Expence-19'!E6</f>
        <v>8000</v>
      </c>
      <c r="H6" s="36">
        <f>'Expence-20'!E6</f>
        <v>0</v>
      </c>
      <c r="I6" s="36">
        <f>'Expence-21'!E6</f>
        <v>0</v>
      </c>
      <c r="J6" s="34">
        <f t="shared" si="0"/>
        <v>8000</v>
      </c>
    </row>
    <row r="7" spans="1:15" ht="15" thickBot="1" x14ac:dyDescent="0.35">
      <c r="A7" s="26" t="s">
        <v>14</v>
      </c>
      <c r="B7" s="27" t="s">
        <v>15</v>
      </c>
      <c r="C7" s="36">
        <f>'Expence-15'!E7</f>
        <v>0</v>
      </c>
      <c r="D7" s="36">
        <f>'Expence-16'!E7</f>
        <v>0</v>
      </c>
      <c r="E7" s="36">
        <f>'Expence-17'!E7</f>
        <v>0</v>
      </c>
      <c r="F7" s="36">
        <f>'Expence-18'!E7</f>
        <v>0</v>
      </c>
      <c r="G7" s="36">
        <f>'Expence-19'!E7</f>
        <v>0</v>
      </c>
      <c r="H7" s="36">
        <f>'Expence-20'!E7</f>
        <v>0</v>
      </c>
      <c r="I7" s="36">
        <f>'Expence-21'!E7</f>
        <v>0</v>
      </c>
      <c r="J7" s="34">
        <f t="shared" si="0"/>
        <v>0</v>
      </c>
    </row>
    <row r="8" spans="1:15" ht="15" thickBot="1" x14ac:dyDescent="0.35">
      <c r="A8" s="11" t="s">
        <v>22</v>
      </c>
      <c r="B8" t="s">
        <v>117</v>
      </c>
      <c r="C8" s="36">
        <f>'Expence-15'!E8</f>
        <v>0</v>
      </c>
      <c r="D8" s="36">
        <f>'Expence-16'!E8</f>
        <v>0</v>
      </c>
      <c r="E8" s="36">
        <f>'Expence-17'!E8</f>
        <v>0</v>
      </c>
      <c r="F8" s="36">
        <f>'Expence-18'!E8</f>
        <v>0</v>
      </c>
      <c r="G8" s="36">
        <f>'Expence-19'!E8</f>
        <v>6100</v>
      </c>
      <c r="H8" s="36">
        <f>'Expence-20'!E8</f>
        <v>0</v>
      </c>
      <c r="I8" s="36">
        <f>'Expence-21'!E8</f>
        <v>0</v>
      </c>
      <c r="J8" s="34">
        <f t="shared" si="0"/>
        <v>6100</v>
      </c>
    </row>
    <row r="9" spans="1:15" ht="15" thickBot="1" x14ac:dyDescent="0.35">
      <c r="A9" s="29"/>
      <c r="B9" s="27"/>
      <c r="C9" s="36">
        <f>'Expence-15'!E9</f>
        <v>0</v>
      </c>
      <c r="D9" s="36">
        <f>'Expence-16'!E9</f>
        <v>0</v>
      </c>
      <c r="E9" s="36">
        <f>'Expence-17'!E9</f>
        <v>0</v>
      </c>
      <c r="F9" s="36">
        <f>'Expence-18'!E9</f>
        <v>0</v>
      </c>
      <c r="G9" s="36">
        <f>'Expence-19'!E9</f>
        <v>0</v>
      </c>
      <c r="H9" s="36">
        <f>'Expence-20'!E9</f>
        <v>0</v>
      </c>
      <c r="I9" s="36">
        <f>'Expence-21'!E9</f>
        <v>0</v>
      </c>
      <c r="J9" s="34">
        <f t="shared" si="0"/>
        <v>0</v>
      </c>
    </row>
    <row r="10" spans="1:15" ht="15" thickBot="1" x14ac:dyDescent="0.35">
      <c r="A10" s="21">
        <v>2</v>
      </c>
      <c r="B10" s="38" t="s">
        <v>16</v>
      </c>
      <c r="C10" s="36">
        <f>'Expence-15'!E10</f>
        <v>0</v>
      </c>
      <c r="D10" s="36">
        <f>'Expence-16'!E10</f>
        <v>0</v>
      </c>
      <c r="E10" s="36">
        <f>'Expence-17'!E10</f>
        <v>0</v>
      </c>
      <c r="F10" s="36">
        <f>'Expence-18'!E10</f>
        <v>0</v>
      </c>
      <c r="G10" s="36">
        <f>'Expence-19'!E10</f>
        <v>0</v>
      </c>
      <c r="H10" s="36">
        <f>'Expence-20'!E10</f>
        <v>0</v>
      </c>
      <c r="I10" s="36">
        <f>'Expence-21'!E10</f>
        <v>0</v>
      </c>
      <c r="J10" s="34">
        <f t="shared" si="0"/>
        <v>0</v>
      </c>
    </row>
    <row r="11" spans="1:15" ht="15" thickBot="1" x14ac:dyDescent="0.35">
      <c r="A11" s="26" t="s">
        <v>6</v>
      </c>
      <c r="B11" s="27" t="s">
        <v>17</v>
      </c>
      <c r="C11" s="36">
        <f>'Expence-15'!E11</f>
        <v>3600</v>
      </c>
      <c r="D11" s="36">
        <f>'Expence-16'!E11</f>
        <v>0</v>
      </c>
      <c r="E11" s="36">
        <f>'Expence-17'!E11</f>
        <v>0</v>
      </c>
      <c r="F11" s="36">
        <f>'Expence-18'!E11</f>
        <v>0</v>
      </c>
      <c r="G11" s="36">
        <f>'Expence-19'!E11</f>
        <v>10800</v>
      </c>
      <c r="H11" s="36">
        <f>'Expence-20'!E11</f>
        <v>0</v>
      </c>
      <c r="I11" s="36">
        <f>'Expence-21'!E11</f>
        <v>0</v>
      </c>
      <c r="J11" s="34">
        <f t="shared" si="0"/>
        <v>14400</v>
      </c>
    </row>
    <row r="12" spans="1:15" ht="15" thickBot="1" x14ac:dyDescent="0.35">
      <c r="A12" s="26" t="s">
        <v>8</v>
      </c>
      <c r="B12" s="27" t="s">
        <v>18</v>
      </c>
      <c r="C12" s="36">
        <f>'Expence-15'!E12</f>
        <v>0</v>
      </c>
      <c r="D12" s="36">
        <f>'Expence-16'!E12</f>
        <v>0</v>
      </c>
      <c r="E12" s="36">
        <f>'Expence-17'!E12</f>
        <v>0</v>
      </c>
      <c r="F12" s="36">
        <f>'Expence-18'!E12</f>
        <v>0</v>
      </c>
      <c r="G12" s="36">
        <f>'Expence-19'!E12</f>
        <v>0</v>
      </c>
      <c r="H12" s="36">
        <f>'Expence-20'!E12</f>
        <v>0</v>
      </c>
      <c r="I12" s="36">
        <f>'Expence-21'!E12</f>
        <v>0</v>
      </c>
      <c r="J12" s="34">
        <f t="shared" si="0"/>
        <v>0</v>
      </c>
      <c r="O12" s="32"/>
    </row>
    <row r="13" spans="1:15" ht="15" thickBot="1" x14ac:dyDescent="0.35">
      <c r="A13" s="26" t="s">
        <v>10</v>
      </c>
      <c r="B13" s="27" t="s">
        <v>19</v>
      </c>
      <c r="C13" s="36">
        <f>'Expence-15'!E13</f>
        <v>0</v>
      </c>
      <c r="D13" s="36">
        <f>'Expence-16'!E13</f>
        <v>0</v>
      </c>
      <c r="E13" s="36">
        <f>'Expence-17'!E13</f>
        <v>0</v>
      </c>
      <c r="F13" s="36">
        <f>'Expence-18'!E13</f>
        <v>0</v>
      </c>
      <c r="G13" s="36">
        <f>'Expence-19'!E13</f>
        <v>0</v>
      </c>
      <c r="H13" s="36">
        <f>'Expence-20'!E13</f>
        <v>0</v>
      </c>
      <c r="I13" s="36">
        <f>'Expence-21'!E13</f>
        <v>0</v>
      </c>
      <c r="J13" s="34">
        <f t="shared" si="0"/>
        <v>0</v>
      </c>
    </row>
    <row r="14" spans="1:15" ht="15" thickBot="1" x14ac:dyDescent="0.35">
      <c r="A14" s="26" t="s">
        <v>12</v>
      </c>
      <c r="B14" s="27" t="s">
        <v>20</v>
      </c>
      <c r="C14" s="36">
        <f>'Expence-15'!E14</f>
        <v>0</v>
      </c>
      <c r="D14" s="36">
        <f>'Expence-16'!E14</f>
        <v>0</v>
      </c>
      <c r="E14" s="36">
        <f>'Expence-17'!E14</f>
        <v>0</v>
      </c>
      <c r="F14" s="36">
        <f>'Expence-18'!E14</f>
        <v>0</v>
      </c>
      <c r="G14" s="36">
        <f>'Expence-19'!E14</f>
        <v>0</v>
      </c>
      <c r="H14" s="36">
        <f>'Expence-20'!E14</f>
        <v>0</v>
      </c>
      <c r="I14" s="36">
        <f>'Expence-21'!E14</f>
        <v>0</v>
      </c>
      <c r="J14" s="34">
        <f t="shared" si="0"/>
        <v>0</v>
      </c>
    </row>
    <row r="15" spans="1:15" ht="15" thickBot="1" x14ac:dyDescent="0.35">
      <c r="A15" s="26" t="s">
        <v>14</v>
      </c>
      <c r="B15" s="27" t="s">
        <v>21</v>
      </c>
      <c r="C15" s="36">
        <f>'Expence-15'!E15</f>
        <v>10000</v>
      </c>
      <c r="D15" s="36">
        <f>'Expence-16'!E15</f>
        <v>0</v>
      </c>
      <c r="E15" s="36">
        <f>'Expence-17'!E15</f>
        <v>0</v>
      </c>
      <c r="F15" s="36">
        <f>'Expence-18'!E15</f>
        <v>0</v>
      </c>
      <c r="G15" s="36">
        <f>'Expence-19'!E15</f>
        <v>0</v>
      </c>
      <c r="H15" s="36">
        <f>'Expence-20'!E15</f>
        <v>10000</v>
      </c>
      <c r="I15" s="36">
        <f>'Expence-21'!E15</f>
        <v>0</v>
      </c>
      <c r="J15" s="34">
        <f t="shared" si="0"/>
        <v>20000</v>
      </c>
    </row>
    <row r="16" spans="1:15" ht="15" thickBot="1" x14ac:dyDescent="0.35">
      <c r="A16" s="26" t="s">
        <v>22</v>
      </c>
      <c r="B16" s="27" t="s">
        <v>23</v>
      </c>
      <c r="C16" s="36">
        <f>'Expence-15'!E16</f>
        <v>9600</v>
      </c>
      <c r="D16" s="36">
        <f>'Expence-16'!E16</f>
        <v>0</v>
      </c>
      <c r="E16" s="36">
        <f>'Expence-17'!E16</f>
        <v>0</v>
      </c>
      <c r="F16" s="36">
        <f>'Expence-18'!E16</f>
        <v>0</v>
      </c>
      <c r="G16" s="36">
        <f>'Expence-19'!E16</f>
        <v>9900</v>
      </c>
      <c r="H16" s="36">
        <f>'Expence-20'!E16</f>
        <v>0</v>
      </c>
      <c r="I16" s="36">
        <f>'Expence-21'!E16</f>
        <v>0</v>
      </c>
      <c r="J16" s="34">
        <f t="shared" si="0"/>
        <v>19500</v>
      </c>
    </row>
    <row r="17" spans="1:15" ht="15" thickBot="1" x14ac:dyDescent="0.35">
      <c r="A17" s="26" t="s">
        <v>24</v>
      </c>
      <c r="B17" s="27" t="s">
        <v>25</v>
      </c>
      <c r="C17" s="36">
        <f>'Expence-15'!E17</f>
        <v>0</v>
      </c>
      <c r="D17" s="36">
        <f>'Expence-16'!E17</f>
        <v>0</v>
      </c>
      <c r="E17" s="36">
        <f>'Expence-17'!E17</f>
        <v>0</v>
      </c>
      <c r="F17" s="36">
        <f>'Expence-18'!E17</f>
        <v>0</v>
      </c>
      <c r="G17" s="36">
        <f>'Expence-19'!E17</f>
        <v>8100</v>
      </c>
      <c r="H17" s="36">
        <f>'Expence-20'!E17</f>
        <v>0</v>
      </c>
      <c r="I17" s="36">
        <f>'Expence-21'!E17</f>
        <v>0</v>
      </c>
      <c r="J17" s="34">
        <f t="shared" si="0"/>
        <v>8100</v>
      </c>
      <c r="O17" s="32"/>
    </row>
    <row r="18" spans="1:15" ht="15" thickBot="1" x14ac:dyDescent="0.35">
      <c r="A18" s="26" t="s">
        <v>26</v>
      </c>
      <c r="B18" s="27" t="s">
        <v>27</v>
      </c>
      <c r="C18" s="36">
        <f>'Expence-15'!E18</f>
        <v>0</v>
      </c>
      <c r="D18" s="36">
        <f>'Expence-16'!E18</f>
        <v>0</v>
      </c>
      <c r="E18" s="36">
        <f>'Expence-17'!E18</f>
        <v>0</v>
      </c>
      <c r="F18" s="36">
        <f>'Expence-18'!E18</f>
        <v>0</v>
      </c>
      <c r="G18" s="36">
        <f>'Expence-19'!E18</f>
        <v>0</v>
      </c>
      <c r="H18" s="36">
        <f>'Expence-20'!E18</f>
        <v>0</v>
      </c>
      <c r="I18" s="36">
        <f>'Expence-21'!E18</f>
        <v>0</v>
      </c>
      <c r="J18" s="34">
        <f t="shared" si="0"/>
        <v>0</v>
      </c>
    </row>
    <row r="19" spans="1:15" ht="15" thickBot="1" x14ac:dyDescent="0.35">
      <c r="A19" s="26" t="s">
        <v>28</v>
      </c>
      <c r="B19" s="27" t="s">
        <v>29</v>
      </c>
      <c r="C19" s="36">
        <f>'Expence-15'!E19</f>
        <v>5400</v>
      </c>
      <c r="D19" s="36">
        <f>'Expence-16'!E19</f>
        <v>0</v>
      </c>
      <c r="E19" s="36">
        <f>'Expence-17'!E19</f>
        <v>0</v>
      </c>
      <c r="F19" s="36">
        <f>'Expence-18'!E19</f>
        <v>0</v>
      </c>
      <c r="G19" s="36">
        <f>'Expence-19'!E19</f>
        <v>5400</v>
      </c>
      <c r="H19" s="36">
        <f>'Expence-20'!E19</f>
        <v>0</v>
      </c>
      <c r="I19" s="36">
        <f>'Expence-21'!E19</f>
        <v>0</v>
      </c>
      <c r="J19" s="34">
        <f t="shared" si="0"/>
        <v>10800</v>
      </c>
    </row>
    <row r="20" spans="1:15" ht="15" thickBot="1" x14ac:dyDescent="0.35">
      <c r="A20" s="26" t="s">
        <v>30</v>
      </c>
      <c r="B20" s="27" t="s">
        <v>31</v>
      </c>
      <c r="C20" s="36">
        <f>'Expence-15'!E20</f>
        <v>9300</v>
      </c>
      <c r="D20" s="36">
        <f>'Expence-16'!E20</f>
        <v>0</v>
      </c>
      <c r="E20" s="36">
        <f>'Expence-17'!E20</f>
        <v>0</v>
      </c>
      <c r="F20" s="36">
        <f>'Expence-18'!E20</f>
        <v>0</v>
      </c>
      <c r="G20" s="36">
        <f>'Expence-19'!E20</f>
        <v>9300</v>
      </c>
      <c r="H20" s="36">
        <f>'Expence-20'!E20</f>
        <v>0</v>
      </c>
      <c r="I20" s="36">
        <f>'Expence-21'!E20</f>
        <v>0</v>
      </c>
      <c r="J20" s="34">
        <f t="shared" si="0"/>
        <v>18600</v>
      </c>
    </row>
    <row r="21" spans="1:15" ht="15" thickBot="1" x14ac:dyDescent="0.35">
      <c r="A21" s="26" t="s">
        <v>32</v>
      </c>
      <c r="B21" s="27" t="s">
        <v>33</v>
      </c>
      <c r="C21" s="36">
        <f>'Expence-15'!E21</f>
        <v>2000</v>
      </c>
      <c r="D21" s="36">
        <f>'Expence-16'!E21</f>
        <v>0</v>
      </c>
      <c r="E21" s="36">
        <f>'Expence-17'!E21</f>
        <v>0</v>
      </c>
      <c r="F21" s="36">
        <f>'Expence-18'!E21</f>
        <v>0</v>
      </c>
      <c r="G21" s="36">
        <f>'Expence-19'!E21</f>
        <v>7000</v>
      </c>
      <c r="H21" s="36">
        <f>'Expence-20'!E21</f>
        <v>0</v>
      </c>
      <c r="I21" s="36">
        <f>'Expence-21'!E21</f>
        <v>0</v>
      </c>
      <c r="J21" s="34">
        <f t="shared" si="0"/>
        <v>9000</v>
      </c>
    </row>
    <row r="22" spans="1:15" ht="15" thickBot="1" x14ac:dyDescent="0.35">
      <c r="A22" s="26" t="s">
        <v>34</v>
      </c>
      <c r="B22" s="27" t="s">
        <v>35</v>
      </c>
      <c r="C22" s="36">
        <f>'Expence-15'!E22</f>
        <v>6000</v>
      </c>
      <c r="D22" s="36">
        <f>'Expence-16'!E22</f>
        <v>0</v>
      </c>
      <c r="E22" s="36">
        <f>'Expence-17'!E22</f>
        <v>0</v>
      </c>
      <c r="F22" s="36">
        <f>'Expence-18'!E22</f>
        <v>0</v>
      </c>
      <c r="G22" s="36">
        <f>'Expence-19'!E22</f>
        <v>6000</v>
      </c>
      <c r="H22" s="36">
        <f>'Expence-20'!E22</f>
        <v>0</v>
      </c>
      <c r="I22" s="36">
        <f>'Expence-21'!E22</f>
        <v>0</v>
      </c>
      <c r="J22" s="34">
        <f t="shared" si="0"/>
        <v>12000</v>
      </c>
    </row>
    <row r="23" spans="1:15" ht="15" thickBot="1" x14ac:dyDescent="0.35">
      <c r="A23" s="26" t="s">
        <v>66</v>
      </c>
      <c r="B23" s="27" t="s">
        <v>91</v>
      </c>
      <c r="C23" s="36">
        <f>'Expence-15'!E23</f>
        <v>4600</v>
      </c>
      <c r="D23" s="36">
        <f>'Expence-16'!E23</f>
        <v>0</v>
      </c>
      <c r="E23" s="36">
        <f>'Expence-17'!E23</f>
        <v>0</v>
      </c>
      <c r="F23" s="36">
        <f>'Expence-18'!E23</f>
        <v>0</v>
      </c>
      <c r="G23" s="36">
        <f>'Expence-19'!E23</f>
        <v>0</v>
      </c>
      <c r="H23" s="36">
        <f>'Expence-20'!E23</f>
        <v>0</v>
      </c>
      <c r="I23" s="36">
        <f>'Expence-21'!E23</f>
        <v>0</v>
      </c>
      <c r="J23" s="34">
        <f t="shared" si="0"/>
        <v>4600</v>
      </c>
    </row>
    <row r="24" spans="1:15" ht="15" thickBot="1" x14ac:dyDescent="0.35">
      <c r="A24" s="26" t="s">
        <v>68</v>
      </c>
      <c r="B24" s="27" t="s">
        <v>92</v>
      </c>
      <c r="C24" s="36">
        <f>'Expence-15'!E24</f>
        <v>0</v>
      </c>
      <c r="D24" s="36">
        <f>'Expence-16'!E24</f>
        <v>0</v>
      </c>
      <c r="E24" s="36">
        <f>'Expence-17'!E24</f>
        <v>0</v>
      </c>
      <c r="F24" s="36">
        <f>'Expence-18'!E24</f>
        <v>0</v>
      </c>
      <c r="G24" s="36">
        <f>'Expence-19'!E24</f>
        <v>0</v>
      </c>
      <c r="H24" s="36">
        <f>'Expence-20'!E24</f>
        <v>0</v>
      </c>
      <c r="I24" s="36">
        <f>'Expence-21'!E24</f>
        <v>0</v>
      </c>
      <c r="J24" s="34">
        <f t="shared" si="0"/>
        <v>0</v>
      </c>
    </row>
    <row r="25" spans="1:15" ht="15" thickBot="1" x14ac:dyDescent="0.35">
      <c r="A25" s="26" t="s">
        <v>70</v>
      </c>
      <c r="B25" s="27" t="s">
        <v>94</v>
      </c>
      <c r="C25" s="36">
        <f>'Expence-15'!E25</f>
        <v>0</v>
      </c>
      <c r="D25" s="36">
        <f>'Expence-16'!E25</f>
        <v>0</v>
      </c>
      <c r="E25" s="36">
        <f>'Expence-17'!E25</f>
        <v>0</v>
      </c>
      <c r="F25" s="36">
        <f>'Expence-18'!E25</f>
        <v>0</v>
      </c>
      <c r="G25" s="36">
        <f>'Expence-19'!E25</f>
        <v>19200</v>
      </c>
      <c r="H25" s="36">
        <f>'Expence-20'!E25</f>
        <v>0</v>
      </c>
      <c r="I25" s="36">
        <f>'Expence-21'!E25</f>
        <v>0</v>
      </c>
      <c r="J25" s="34">
        <f t="shared" si="0"/>
        <v>19200</v>
      </c>
    </row>
    <row r="26" spans="1:15" ht="15" thickBot="1" x14ac:dyDescent="0.35">
      <c r="A26" s="26" t="s">
        <v>72</v>
      </c>
      <c r="B26" s="27" t="s">
        <v>93</v>
      </c>
      <c r="C26" s="36">
        <f>'Expence-15'!E26</f>
        <v>0</v>
      </c>
      <c r="D26" s="36">
        <f>'Expence-16'!E26</f>
        <v>0</v>
      </c>
      <c r="E26" s="36">
        <f>'Expence-17'!E26</f>
        <v>0</v>
      </c>
      <c r="F26" s="36">
        <f>'Expence-18'!E26</f>
        <v>0</v>
      </c>
      <c r="G26" s="36">
        <f>'Expence-19'!E26</f>
        <v>0</v>
      </c>
      <c r="H26" s="36">
        <f>'Expence-20'!E26</f>
        <v>0</v>
      </c>
      <c r="I26" s="36">
        <f>'Expence-21'!E26</f>
        <v>0</v>
      </c>
      <c r="J26" s="34">
        <f t="shared" si="0"/>
        <v>0</v>
      </c>
    </row>
    <row r="27" spans="1:15" ht="15" thickBot="1" x14ac:dyDescent="0.35">
      <c r="A27" s="29"/>
      <c r="B27" s="27"/>
      <c r="C27" s="36">
        <f>'Expence-15'!E27</f>
        <v>0</v>
      </c>
      <c r="D27" s="36">
        <f>'Expence-16'!E27</f>
        <v>0</v>
      </c>
      <c r="E27" s="36">
        <f>'Expence-17'!E27</f>
        <v>0</v>
      </c>
      <c r="F27" s="36">
        <f>'Expence-18'!E27</f>
        <v>0</v>
      </c>
      <c r="G27" s="36">
        <f>'Expence-19'!E27</f>
        <v>0</v>
      </c>
      <c r="H27" s="36">
        <f>'Expence-20'!E27</f>
        <v>0</v>
      </c>
      <c r="I27" s="36">
        <f>'Expence-21'!E27</f>
        <v>0</v>
      </c>
      <c r="J27" s="34">
        <f t="shared" si="0"/>
        <v>0</v>
      </c>
    </row>
    <row r="28" spans="1:15" ht="15" thickBot="1" x14ac:dyDescent="0.35">
      <c r="A28" s="21">
        <v>3</v>
      </c>
      <c r="B28" s="22" t="s">
        <v>36</v>
      </c>
      <c r="C28" s="36">
        <f>'Expence-15'!E28</f>
        <v>0</v>
      </c>
      <c r="D28" s="36">
        <f>'Expence-16'!E28</f>
        <v>0</v>
      </c>
      <c r="E28" s="36">
        <f>'Expence-17'!E28</f>
        <v>0</v>
      </c>
      <c r="F28" s="36">
        <f>'Expence-18'!E28</f>
        <v>0</v>
      </c>
      <c r="G28" s="36">
        <f>'Expence-19'!E28</f>
        <v>0</v>
      </c>
      <c r="H28" s="36">
        <f>'Expence-20'!E28</f>
        <v>0</v>
      </c>
      <c r="I28" s="36">
        <f>'Expence-21'!E28</f>
        <v>0</v>
      </c>
      <c r="J28" s="34">
        <f t="shared" si="0"/>
        <v>0</v>
      </c>
    </row>
    <row r="29" spans="1:15" ht="15" thickBot="1" x14ac:dyDescent="0.35">
      <c r="A29" s="26" t="s">
        <v>6</v>
      </c>
      <c r="B29" s="27" t="s">
        <v>37</v>
      </c>
      <c r="C29" s="36">
        <f>'Expence-15'!E29</f>
        <v>30500</v>
      </c>
      <c r="D29" s="36">
        <f>'Expence-16'!E29</f>
        <v>0</v>
      </c>
      <c r="E29" s="36">
        <f>'Expence-17'!E29</f>
        <v>30000</v>
      </c>
      <c r="F29" s="36">
        <f>'Expence-18'!E29</f>
        <v>0</v>
      </c>
      <c r="G29" s="36">
        <f>'Expence-19'!E29</f>
        <v>15000</v>
      </c>
      <c r="H29" s="36">
        <f>'Expence-20'!E29</f>
        <v>0</v>
      </c>
      <c r="I29" s="36">
        <f>'Expence-21'!E29</f>
        <v>0</v>
      </c>
      <c r="J29" s="34">
        <f t="shared" si="0"/>
        <v>75500</v>
      </c>
    </row>
    <row r="30" spans="1:15" ht="15" thickBot="1" x14ac:dyDescent="0.35">
      <c r="A30" s="26" t="s">
        <v>8</v>
      </c>
      <c r="B30" s="27" t="s">
        <v>38</v>
      </c>
      <c r="C30" s="36">
        <f>'Expence-15'!E30</f>
        <v>0</v>
      </c>
      <c r="D30" s="36">
        <f>'Expence-16'!E30</f>
        <v>0</v>
      </c>
      <c r="E30" s="36">
        <f>'Expence-17'!E30</f>
        <v>23000</v>
      </c>
      <c r="F30" s="36">
        <f>'Expence-18'!E30</f>
        <v>0</v>
      </c>
      <c r="G30" s="36">
        <f>'Expence-19'!E30</f>
        <v>40000</v>
      </c>
      <c r="H30" s="36">
        <f>'Expence-20'!E30</f>
        <v>20200</v>
      </c>
      <c r="I30" s="36">
        <f>'Expence-21'!E30</f>
        <v>0</v>
      </c>
      <c r="J30" s="34">
        <f t="shared" si="0"/>
        <v>83200</v>
      </c>
    </row>
    <row r="31" spans="1:15" ht="15" thickBot="1" x14ac:dyDescent="0.35">
      <c r="A31" s="26" t="s">
        <v>10</v>
      </c>
      <c r="B31" s="27" t="s">
        <v>39</v>
      </c>
      <c r="C31" s="36">
        <f>'Expence-15'!E31</f>
        <v>0</v>
      </c>
      <c r="D31" s="36">
        <f>'Expence-16'!E31</f>
        <v>0</v>
      </c>
      <c r="E31" s="36">
        <f>'Expence-17'!E31</f>
        <v>0</v>
      </c>
      <c r="F31" s="36">
        <f>'Expence-18'!E31</f>
        <v>0</v>
      </c>
      <c r="G31" s="36">
        <f>'Expence-19'!E31</f>
        <v>0</v>
      </c>
      <c r="H31" s="36">
        <f>'Expence-20'!E31</f>
        <v>0</v>
      </c>
      <c r="I31" s="36">
        <f>'Expence-21'!E31</f>
        <v>0</v>
      </c>
      <c r="J31" s="34">
        <f t="shared" si="0"/>
        <v>0</v>
      </c>
    </row>
    <row r="32" spans="1:15" ht="15" thickBot="1" x14ac:dyDescent="0.35">
      <c r="A32" s="26" t="s">
        <v>12</v>
      </c>
      <c r="B32" s="27" t="s">
        <v>40</v>
      </c>
      <c r="C32" s="36">
        <f>'Expence-15'!E32</f>
        <v>0</v>
      </c>
      <c r="D32" s="36">
        <f>'Expence-16'!E32</f>
        <v>0</v>
      </c>
      <c r="E32" s="36">
        <f>'Expence-17'!E32</f>
        <v>0</v>
      </c>
      <c r="F32" s="36">
        <f>'Expence-18'!E32</f>
        <v>0</v>
      </c>
      <c r="G32" s="36">
        <f>'Expence-19'!E32</f>
        <v>0</v>
      </c>
      <c r="H32" s="36">
        <f>'Expence-20'!E32</f>
        <v>0</v>
      </c>
      <c r="I32" s="36">
        <f>'Expence-21'!E32</f>
        <v>0</v>
      </c>
      <c r="J32" s="34">
        <f t="shared" si="0"/>
        <v>0</v>
      </c>
    </row>
    <row r="33" spans="1:18" ht="15" thickBot="1" x14ac:dyDescent="0.35">
      <c r="A33" s="26" t="s">
        <v>14</v>
      </c>
      <c r="B33" s="27" t="s">
        <v>41</v>
      </c>
      <c r="C33" s="36">
        <f>'Expence-15'!E33</f>
        <v>0</v>
      </c>
      <c r="D33" s="36">
        <f>'Expence-16'!E33</f>
        <v>0</v>
      </c>
      <c r="E33" s="36">
        <f>'Expence-17'!E33</f>
        <v>0</v>
      </c>
      <c r="F33" s="36">
        <f>'Expence-18'!E33</f>
        <v>0</v>
      </c>
      <c r="G33" s="36">
        <f>'Expence-19'!E33</f>
        <v>4500</v>
      </c>
      <c r="H33" s="36">
        <f>'Expence-20'!E33</f>
        <v>6000</v>
      </c>
      <c r="I33" s="36">
        <f>'Expence-21'!E33</f>
        <v>0</v>
      </c>
      <c r="J33" s="34">
        <f t="shared" si="0"/>
        <v>10500</v>
      </c>
    </row>
    <row r="34" spans="1:18" ht="15" thickBot="1" x14ac:dyDescent="0.35">
      <c r="A34" s="26" t="s">
        <v>22</v>
      </c>
      <c r="B34" s="27" t="s">
        <v>42</v>
      </c>
      <c r="C34" s="36">
        <f>'Expence-15'!E34</f>
        <v>0</v>
      </c>
      <c r="D34" s="36">
        <f>'Expence-16'!E34</f>
        <v>0</v>
      </c>
      <c r="E34" s="36">
        <f>'Expence-17'!E34</f>
        <v>5200</v>
      </c>
      <c r="F34" s="36">
        <f>'Expence-18'!E34</f>
        <v>0</v>
      </c>
      <c r="G34" s="36">
        <f>'Expence-19'!E34</f>
        <v>0</v>
      </c>
      <c r="H34" s="36">
        <f>'Expence-20'!E34</f>
        <v>0</v>
      </c>
      <c r="I34" s="36">
        <f>'Expence-21'!E34</f>
        <v>0</v>
      </c>
      <c r="J34" s="34">
        <f t="shared" si="0"/>
        <v>5200</v>
      </c>
      <c r="O34" s="32"/>
    </row>
    <row r="35" spans="1:18" ht="15" thickBot="1" x14ac:dyDescent="0.35">
      <c r="A35" s="26" t="s">
        <v>24</v>
      </c>
      <c r="B35" s="27" t="s">
        <v>83</v>
      </c>
      <c r="C35" s="36">
        <f>'Expence-15'!E35</f>
        <v>0</v>
      </c>
      <c r="D35" s="36">
        <f>'Expence-16'!E35</f>
        <v>0</v>
      </c>
      <c r="E35" s="36">
        <f>'Expence-17'!E35</f>
        <v>0</v>
      </c>
      <c r="F35" s="36">
        <f>'Expence-18'!E35</f>
        <v>0</v>
      </c>
      <c r="G35" s="36">
        <f>'Expence-19'!E35</f>
        <v>0</v>
      </c>
      <c r="H35" s="36">
        <f>'Expence-20'!E35</f>
        <v>0</v>
      </c>
      <c r="I35" s="36">
        <f>'Expence-21'!E35</f>
        <v>0</v>
      </c>
      <c r="J35" s="34">
        <f t="shared" si="0"/>
        <v>0</v>
      </c>
      <c r="O35" s="32"/>
    </row>
    <row r="36" spans="1:18" ht="15" thickBot="1" x14ac:dyDescent="0.35">
      <c r="A36" s="26" t="s">
        <v>26</v>
      </c>
      <c r="B36" s="27" t="s">
        <v>43</v>
      </c>
      <c r="C36" s="36">
        <f>'Expence-15'!E36</f>
        <v>0</v>
      </c>
      <c r="D36" s="36">
        <f>'Expence-16'!E36</f>
        <v>0</v>
      </c>
      <c r="E36" s="36">
        <f>'Expence-17'!E36</f>
        <v>0</v>
      </c>
      <c r="F36" s="36">
        <f>'Expence-18'!E36</f>
        <v>0</v>
      </c>
      <c r="G36" s="36">
        <f>'Expence-19'!E36</f>
        <v>0</v>
      </c>
      <c r="H36" s="36">
        <f>'Expence-20'!E36</f>
        <v>4300</v>
      </c>
      <c r="I36" s="36">
        <f>'Expence-21'!E36</f>
        <v>0</v>
      </c>
      <c r="J36" s="34">
        <f t="shared" si="0"/>
        <v>4300</v>
      </c>
      <c r="O36" s="32"/>
      <c r="R36"/>
    </row>
    <row r="37" spans="1:18" ht="15" thickBot="1" x14ac:dyDescent="0.35">
      <c r="A37" s="11" t="s">
        <v>28</v>
      </c>
      <c r="B37" t="s">
        <v>89</v>
      </c>
      <c r="C37" s="36">
        <f>'Expence-15'!E37</f>
        <v>0</v>
      </c>
      <c r="D37" s="36">
        <f>'Expence-16'!E37</f>
        <v>0</v>
      </c>
      <c r="E37" s="36">
        <f>'Expence-17'!E37</f>
        <v>0</v>
      </c>
      <c r="F37" s="36">
        <f>'Expence-18'!E37</f>
        <v>0</v>
      </c>
      <c r="G37" s="36">
        <f>'Expence-19'!E37</f>
        <v>0</v>
      </c>
      <c r="H37" s="36">
        <f>'Expence-20'!E37</f>
        <v>0</v>
      </c>
      <c r="I37" s="36">
        <f>'Expence-21'!E37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30</v>
      </c>
      <c r="B38" t="s">
        <v>90</v>
      </c>
      <c r="C38" s="36">
        <f>'Expence-15'!E38</f>
        <v>0</v>
      </c>
      <c r="D38" s="36">
        <f>'Expence-16'!E38</f>
        <v>0</v>
      </c>
      <c r="E38" s="36">
        <f>'Expence-17'!E38</f>
        <v>13750</v>
      </c>
      <c r="F38" s="36">
        <f>'Expence-18'!E38</f>
        <v>0</v>
      </c>
      <c r="G38" s="36">
        <f>'Expence-19'!E38</f>
        <v>0</v>
      </c>
      <c r="H38" s="36">
        <f>'Expence-20'!E38</f>
        <v>13000</v>
      </c>
      <c r="I38" s="36">
        <f>'Expence-21'!E38</f>
        <v>0</v>
      </c>
      <c r="J38" s="34">
        <f t="shared" si="0"/>
        <v>26750</v>
      </c>
      <c r="O38" s="32"/>
      <c r="R38"/>
    </row>
    <row r="39" spans="1:18" ht="15" thickBot="1" x14ac:dyDescent="0.35">
      <c r="A39" s="11" t="s">
        <v>32</v>
      </c>
      <c r="B39" s="49" t="s">
        <v>95</v>
      </c>
      <c r="C39" s="36">
        <f>'Expence-15'!E39</f>
        <v>0</v>
      </c>
      <c r="D39" s="36">
        <f>'Expence-16'!E39</f>
        <v>0</v>
      </c>
      <c r="E39" s="36">
        <f>'Expence-17'!E39</f>
        <v>0</v>
      </c>
      <c r="F39" s="36">
        <f>'Expence-18'!E39</f>
        <v>0</v>
      </c>
      <c r="G39" s="36">
        <f>'Expence-19'!E39</f>
        <v>0</v>
      </c>
      <c r="H39" s="36">
        <f>'Expence-20'!E39</f>
        <v>0</v>
      </c>
      <c r="I39" s="36">
        <f>'Expence-21'!E39</f>
        <v>0</v>
      </c>
      <c r="J39" s="34">
        <f t="shared" si="0"/>
        <v>0</v>
      </c>
      <c r="O39" s="32"/>
      <c r="R39"/>
    </row>
    <row r="40" spans="1:18" ht="15" thickBot="1" x14ac:dyDescent="0.35">
      <c r="A40" s="11" t="s">
        <v>34</v>
      </c>
      <c r="B40" t="s">
        <v>98</v>
      </c>
      <c r="C40" s="36">
        <f>'Expence-15'!E40</f>
        <v>1400</v>
      </c>
      <c r="D40" s="36">
        <f>'Expence-16'!E40</f>
        <v>0</v>
      </c>
      <c r="E40" s="36">
        <f>'Expence-17'!E40</f>
        <v>0</v>
      </c>
      <c r="F40" s="36">
        <f>'Expence-18'!E40</f>
        <v>0</v>
      </c>
      <c r="G40" s="36">
        <f>'Expence-19'!E40</f>
        <v>0</v>
      </c>
      <c r="H40" s="36">
        <f>'Expence-20'!E40</f>
        <v>0</v>
      </c>
      <c r="I40" s="36">
        <f>'Expence-21'!E40</f>
        <v>0</v>
      </c>
      <c r="J40" s="34">
        <f t="shared" si="0"/>
        <v>1400</v>
      </c>
      <c r="O40" s="32"/>
      <c r="R40"/>
    </row>
    <row r="41" spans="1:18" ht="15" thickBot="1" x14ac:dyDescent="0.35">
      <c r="A41" s="11" t="s">
        <v>66</v>
      </c>
      <c r="B41" t="s">
        <v>99</v>
      </c>
      <c r="C41" s="36">
        <f>'Expence-15'!E41</f>
        <v>9000</v>
      </c>
      <c r="D41" s="36">
        <f>'Expence-16'!E41</f>
        <v>0</v>
      </c>
      <c r="E41" s="36">
        <f>'Expence-17'!E41</f>
        <v>0</v>
      </c>
      <c r="F41" s="36">
        <f>'Expence-18'!E41</f>
        <v>0</v>
      </c>
      <c r="G41" s="36">
        <f>'Expence-19'!E41</f>
        <v>0</v>
      </c>
      <c r="H41" s="36">
        <f>'Expence-20'!E41</f>
        <v>0</v>
      </c>
      <c r="I41" s="36">
        <f>'Expence-21'!E41</f>
        <v>0</v>
      </c>
      <c r="J41" s="34">
        <f t="shared" si="0"/>
        <v>9000</v>
      </c>
      <c r="O41" s="32"/>
      <c r="R41"/>
    </row>
    <row r="42" spans="1:18" ht="15" thickBot="1" x14ac:dyDescent="0.35">
      <c r="A42" s="27"/>
      <c r="B42" s="27"/>
      <c r="C42" s="36">
        <f>'Expence-15'!E42</f>
        <v>0</v>
      </c>
      <c r="D42" s="36">
        <f>'Expence-16'!E42</f>
        <v>0</v>
      </c>
      <c r="E42" s="36">
        <f>'Expence-17'!E42</f>
        <v>0</v>
      </c>
      <c r="F42" s="36">
        <f>'Expence-18'!E42</f>
        <v>0</v>
      </c>
      <c r="G42" s="36">
        <f>'Expence-19'!E42</f>
        <v>0</v>
      </c>
      <c r="H42" s="36">
        <f>'Expence-20'!E42</f>
        <v>0</v>
      </c>
      <c r="I42" s="36">
        <f>'Expence-21'!E42</f>
        <v>0</v>
      </c>
      <c r="J42" s="34">
        <f t="shared" si="0"/>
        <v>0</v>
      </c>
      <c r="R42"/>
    </row>
    <row r="43" spans="1:18" ht="15" thickBot="1" x14ac:dyDescent="0.35">
      <c r="A43" s="21">
        <v>4</v>
      </c>
      <c r="B43" s="22" t="s">
        <v>44</v>
      </c>
      <c r="C43" s="36">
        <f>'Expence-15'!E43</f>
        <v>0</v>
      </c>
      <c r="D43" s="36">
        <f>'Expence-16'!E43</f>
        <v>0</v>
      </c>
      <c r="E43" s="36">
        <f>'Expence-17'!E43</f>
        <v>0</v>
      </c>
      <c r="F43" s="36">
        <f>'Expence-18'!E43</f>
        <v>0</v>
      </c>
      <c r="G43" s="36">
        <f>'Expence-19'!E43</f>
        <v>0</v>
      </c>
      <c r="H43" s="36">
        <f>'Expence-20'!E43</f>
        <v>0</v>
      </c>
      <c r="I43" s="36">
        <f>'Expence-21'!E43</f>
        <v>0</v>
      </c>
      <c r="J43" s="34">
        <f t="shared" si="0"/>
        <v>0</v>
      </c>
      <c r="R43"/>
    </row>
    <row r="44" spans="1:18" ht="15" thickBot="1" x14ac:dyDescent="0.35">
      <c r="A44" s="26" t="s">
        <v>6</v>
      </c>
      <c r="B44" s="27" t="s">
        <v>45</v>
      </c>
      <c r="C44" s="36">
        <f>'Expence-15'!E44</f>
        <v>0</v>
      </c>
      <c r="D44" s="36">
        <f>'Expence-16'!E44</f>
        <v>0</v>
      </c>
      <c r="E44" s="36">
        <f>'Expence-17'!E44</f>
        <v>0</v>
      </c>
      <c r="F44" s="36">
        <f>'Expence-18'!E44</f>
        <v>0</v>
      </c>
      <c r="G44" s="36">
        <f>'Expence-19'!E44</f>
        <v>0</v>
      </c>
      <c r="H44" s="36">
        <f>'Expence-20'!E44</f>
        <v>0</v>
      </c>
      <c r="I44" s="36">
        <f>'Expence-21'!E44</f>
        <v>0</v>
      </c>
      <c r="J44" s="34">
        <f t="shared" si="0"/>
        <v>0</v>
      </c>
      <c r="R44"/>
    </row>
    <row r="45" spans="1:18" ht="15" thickBot="1" x14ac:dyDescent="0.35">
      <c r="A45" s="26" t="s">
        <v>8</v>
      </c>
      <c r="B45" s="27" t="s">
        <v>46</v>
      </c>
      <c r="C45" s="36">
        <f>'Expence-15'!E45</f>
        <v>0</v>
      </c>
      <c r="D45" s="36">
        <f>'Expence-16'!E45</f>
        <v>0</v>
      </c>
      <c r="E45" s="36">
        <f>'Expence-17'!E45</f>
        <v>0</v>
      </c>
      <c r="F45" s="36">
        <f>'Expence-18'!E45</f>
        <v>0</v>
      </c>
      <c r="G45" s="36">
        <f>'Expence-19'!E45</f>
        <v>0</v>
      </c>
      <c r="H45" s="36">
        <f>'Expence-20'!E45</f>
        <v>0</v>
      </c>
      <c r="I45" s="36">
        <f>'Expence-21'!E45</f>
        <v>0</v>
      </c>
      <c r="J45" s="34">
        <f t="shared" si="0"/>
        <v>0</v>
      </c>
      <c r="R45"/>
    </row>
    <row r="46" spans="1:18" ht="15" thickBot="1" x14ac:dyDescent="0.35">
      <c r="A46" s="26" t="s">
        <v>10</v>
      </c>
      <c r="B46" s="27" t="s">
        <v>47</v>
      </c>
      <c r="C46" s="36">
        <f>'Expence-15'!E46</f>
        <v>0</v>
      </c>
      <c r="D46" s="36">
        <f>'Expence-16'!E46</f>
        <v>0</v>
      </c>
      <c r="E46" s="36">
        <f>'Expence-17'!E46</f>
        <v>0</v>
      </c>
      <c r="F46" s="36">
        <f>'Expence-18'!E46</f>
        <v>0</v>
      </c>
      <c r="G46" s="36">
        <f>'Expence-19'!E46</f>
        <v>0</v>
      </c>
      <c r="H46" s="36">
        <f>'Expence-20'!E46</f>
        <v>0</v>
      </c>
      <c r="I46" s="36">
        <f>'Expence-21'!E46</f>
        <v>0</v>
      </c>
      <c r="J46" s="34">
        <f t="shared" si="0"/>
        <v>0</v>
      </c>
      <c r="R46"/>
    </row>
    <row r="47" spans="1:18" ht="15" thickBot="1" x14ac:dyDescent="0.35">
      <c r="A47" s="26" t="s">
        <v>12</v>
      </c>
      <c r="B47" s="27" t="s">
        <v>48</v>
      </c>
      <c r="C47" s="36">
        <f>'Expence-15'!E47</f>
        <v>0</v>
      </c>
      <c r="D47" s="36">
        <f>'Expence-16'!E47</f>
        <v>0</v>
      </c>
      <c r="E47" s="36">
        <f>'Expence-17'!E47</f>
        <v>0</v>
      </c>
      <c r="F47" s="36">
        <f>'Expence-18'!E47</f>
        <v>0</v>
      </c>
      <c r="G47" s="36">
        <f>'Expence-19'!E47</f>
        <v>0</v>
      </c>
      <c r="H47" s="36">
        <f>'Expence-20'!E47</f>
        <v>0</v>
      </c>
      <c r="I47" s="36">
        <f>'Expence-21'!E47</f>
        <v>0</v>
      </c>
      <c r="J47" s="34">
        <f t="shared" si="0"/>
        <v>0</v>
      </c>
      <c r="R47"/>
    </row>
    <row r="48" spans="1:18" ht="15" thickBot="1" x14ac:dyDescent="0.35">
      <c r="A48" s="26" t="s">
        <v>14</v>
      </c>
      <c r="B48" s="27" t="s">
        <v>49</v>
      </c>
      <c r="C48" s="36">
        <f>'Expence-15'!E48</f>
        <v>0</v>
      </c>
      <c r="D48" s="36">
        <f>'Expence-16'!E48</f>
        <v>0</v>
      </c>
      <c r="E48" s="36">
        <f>'Expence-17'!E48</f>
        <v>0</v>
      </c>
      <c r="F48" s="36">
        <f>'Expence-18'!E48</f>
        <v>0</v>
      </c>
      <c r="G48" s="36">
        <f>'Expence-19'!E48</f>
        <v>0</v>
      </c>
      <c r="H48" s="36">
        <f>'Expence-20'!E48</f>
        <v>0</v>
      </c>
      <c r="I48" s="36">
        <f>'Expence-21'!E48</f>
        <v>0</v>
      </c>
      <c r="J48" s="34">
        <f t="shared" si="0"/>
        <v>0</v>
      </c>
      <c r="R48"/>
    </row>
    <row r="49" spans="1:18" ht="15" thickBot="1" x14ac:dyDescent="0.35">
      <c r="A49" s="27"/>
      <c r="B49" s="27"/>
      <c r="C49" s="36">
        <f>'Expence-15'!E49</f>
        <v>0</v>
      </c>
      <c r="D49" s="36">
        <f>'Expence-16'!E49</f>
        <v>0</v>
      </c>
      <c r="E49" s="36">
        <f>'Expence-17'!E49</f>
        <v>0</v>
      </c>
      <c r="F49" s="36">
        <f>'Expence-18'!E49</f>
        <v>0</v>
      </c>
      <c r="G49" s="36">
        <f>'Expence-19'!E49</f>
        <v>0</v>
      </c>
      <c r="H49" s="36">
        <f>'Expence-20'!E49</f>
        <v>0</v>
      </c>
      <c r="I49" s="36">
        <f>'Expence-21'!E49</f>
        <v>0</v>
      </c>
      <c r="J49" s="34">
        <f t="shared" si="0"/>
        <v>0</v>
      </c>
      <c r="R49"/>
    </row>
    <row r="50" spans="1:18" ht="15" thickBot="1" x14ac:dyDescent="0.35">
      <c r="A50" s="21">
        <v>5</v>
      </c>
      <c r="B50" s="22" t="s">
        <v>50</v>
      </c>
      <c r="C50" s="36">
        <f>'Expence-15'!E50</f>
        <v>0</v>
      </c>
      <c r="D50" s="36">
        <f>'Expence-16'!E50</f>
        <v>0</v>
      </c>
      <c r="E50" s="36">
        <f>'Expence-17'!E50</f>
        <v>0</v>
      </c>
      <c r="F50" s="36">
        <f>'Expence-18'!E50</f>
        <v>0</v>
      </c>
      <c r="G50" s="36">
        <f>'Expence-19'!E50</f>
        <v>0</v>
      </c>
      <c r="H50" s="36">
        <f>'Expence-20'!E50</f>
        <v>0</v>
      </c>
      <c r="I50" s="36">
        <f>'Expence-21'!E50</f>
        <v>0</v>
      </c>
      <c r="J50" s="34">
        <f t="shared" si="0"/>
        <v>0</v>
      </c>
      <c r="R50"/>
    </row>
    <row r="51" spans="1:18" ht="15" thickBot="1" x14ac:dyDescent="0.35">
      <c r="A51" s="26" t="s">
        <v>6</v>
      </c>
      <c r="B51" s="27" t="s">
        <v>51</v>
      </c>
      <c r="C51" s="36">
        <f>'Expence-15'!E51</f>
        <v>0</v>
      </c>
      <c r="D51" s="36">
        <f>'Expence-16'!E51</f>
        <v>0</v>
      </c>
      <c r="E51" s="36">
        <f>'Expence-17'!E51</f>
        <v>0</v>
      </c>
      <c r="F51" s="36">
        <f>'Expence-18'!E51</f>
        <v>0</v>
      </c>
      <c r="G51" s="36">
        <f>'Expence-19'!E51</f>
        <v>0</v>
      </c>
      <c r="H51" s="36">
        <f>'Expence-20'!E51</f>
        <v>0</v>
      </c>
      <c r="I51" s="36">
        <f>'Expence-21'!E51</f>
        <v>0</v>
      </c>
      <c r="J51" s="34">
        <f t="shared" si="0"/>
        <v>0</v>
      </c>
      <c r="R51"/>
    </row>
    <row r="52" spans="1:18" ht="15" thickBot="1" x14ac:dyDescent="0.35">
      <c r="A52" s="26" t="s">
        <v>8</v>
      </c>
      <c r="B52" s="27" t="s">
        <v>52</v>
      </c>
      <c r="C52" s="36">
        <f>'Expence-15'!E52</f>
        <v>0</v>
      </c>
      <c r="D52" s="36">
        <f>'Expence-16'!E52</f>
        <v>0</v>
      </c>
      <c r="E52" s="36">
        <f>'Expence-17'!E52</f>
        <v>0</v>
      </c>
      <c r="F52" s="36">
        <f>'Expence-18'!E52</f>
        <v>0</v>
      </c>
      <c r="G52" s="36">
        <f>'Expence-19'!E52</f>
        <v>0</v>
      </c>
      <c r="H52" s="36">
        <f>'Expence-20'!E52</f>
        <v>0</v>
      </c>
      <c r="I52" s="36">
        <f>'Expence-21'!E52</f>
        <v>0</v>
      </c>
      <c r="J52" s="34">
        <f t="shared" si="0"/>
        <v>0</v>
      </c>
      <c r="R52"/>
    </row>
    <row r="53" spans="1:18" ht="15" thickBot="1" x14ac:dyDescent="0.35">
      <c r="A53" s="29"/>
      <c r="B53" s="27"/>
      <c r="C53" s="36">
        <f>'Expence-15'!E53</f>
        <v>0</v>
      </c>
      <c r="D53" s="36">
        <f>'Expence-16'!E53</f>
        <v>0</v>
      </c>
      <c r="E53" s="36">
        <f>'Expence-17'!E53</f>
        <v>0</v>
      </c>
      <c r="F53" s="36">
        <f>'Expence-18'!E53</f>
        <v>0</v>
      </c>
      <c r="G53" s="36">
        <f>'Expence-19'!E53</f>
        <v>0</v>
      </c>
      <c r="H53" s="36">
        <f>'Expence-20'!E53</f>
        <v>0</v>
      </c>
      <c r="I53" s="36">
        <f>'Expence-21'!E53</f>
        <v>0</v>
      </c>
      <c r="J53" s="34">
        <f t="shared" si="0"/>
        <v>0</v>
      </c>
      <c r="R53"/>
    </row>
    <row r="54" spans="1:18" ht="15" thickBot="1" x14ac:dyDescent="0.35">
      <c r="A54" s="21">
        <v>6</v>
      </c>
      <c r="B54" s="22" t="s">
        <v>53</v>
      </c>
      <c r="C54" s="36">
        <f>'Expence-15'!E54</f>
        <v>0</v>
      </c>
      <c r="D54" s="36">
        <f>'Expence-16'!E54</f>
        <v>0</v>
      </c>
      <c r="E54" s="36">
        <f>'Expence-17'!E54</f>
        <v>0</v>
      </c>
      <c r="F54" s="36">
        <f>'Expence-18'!E54</f>
        <v>0</v>
      </c>
      <c r="G54" s="36">
        <f>'Expence-19'!E54</f>
        <v>0</v>
      </c>
      <c r="H54" s="36">
        <f>'Expence-20'!E54</f>
        <v>0</v>
      </c>
      <c r="I54" s="36">
        <f>'Expence-21'!E54</f>
        <v>0</v>
      </c>
      <c r="J54" s="34">
        <f t="shared" si="0"/>
        <v>0</v>
      </c>
      <c r="R54"/>
    </row>
    <row r="55" spans="1:18" ht="15" thickBot="1" x14ac:dyDescent="0.35">
      <c r="A55" s="26" t="s">
        <v>6</v>
      </c>
      <c r="B55" s="27" t="s">
        <v>54</v>
      </c>
      <c r="C55" s="36">
        <f>'Expence-15'!E55</f>
        <v>0</v>
      </c>
      <c r="D55" s="36">
        <f>'Expence-16'!E55</f>
        <v>0</v>
      </c>
      <c r="E55" s="36">
        <f>'Expence-17'!E55</f>
        <v>0</v>
      </c>
      <c r="F55" s="36">
        <f>'Expence-18'!E55</f>
        <v>5500</v>
      </c>
      <c r="G55" s="36">
        <f>'Expence-19'!E55</f>
        <v>11500</v>
      </c>
      <c r="H55" s="36">
        <f>'Expence-20'!E55</f>
        <v>5300</v>
      </c>
      <c r="I55" s="36">
        <f>'Expence-21'!E55</f>
        <v>5500</v>
      </c>
      <c r="J55" s="34">
        <f t="shared" si="0"/>
        <v>27800</v>
      </c>
      <c r="R55"/>
    </row>
    <row r="56" spans="1:18" ht="15" thickBot="1" x14ac:dyDescent="0.35">
      <c r="A56" s="26" t="s">
        <v>8</v>
      </c>
      <c r="B56" s="27" t="s">
        <v>55</v>
      </c>
      <c r="C56" s="36">
        <f>'Expence-15'!E56</f>
        <v>0</v>
      </c>
      <c r="D56" s="36">
        <f>'Expence-16'!E56</f>
        <v>0</v>
      </c>
      <c r="E56" s="36">
        <f>'Expence-17'!E56</f>
        <v>0</v>
      </c>
      <c r="F56" s="36">
        <f>'Expence-18'!E56</f>
        <v>0</v>
      </c>
      <c r="G56" s="36">
        <f>'Expence-19'!E56</f>
        <v>0</v>
      </c>
      <c r="H56" s="36">
        <f>'Expence-20'!E56</f>
        <v>0</v>
      </c>
      <c r="I56" s="36">
        <f>'Expence-21'!E56</f>
        <v>0</v>
      </c>
      <c r="J56" s="34">
        <f t="shared" si="0"/>
        <v>0</v>
      </c>
      <c r="R56"/>
    </row>
    <row r="57" spans="1:18" ht="15" thickBot="1" x14ac:dyDescent="0.35">
      <c r="A57" s="26" t="s">
        <v>10</v>
      </c>
      <c r="B57" s="27" t="s">
        <v>56</v>
      </c>
      <c r="C57" s="36">
        <f>'Expence-15'!E57</f>
        <v>0</v>
      </c>
      <c r="D57" s="36">
        <f>'Expence-16'!E57</f>
        <v>0</v>
      </c>
      <c r="E57" s="36">
        <f>'Expence-17'!E57</f>
        <v>0</v>
      </c>
      <c r="F57" s="36">
        <f>'Expence-18'!E57</f>
        <v>0</v>
      </c>
      <c r="G57" s="36">
        <f>'Expence-19'!E57</f>
        <v>0</v>
      </c>
      <c r="H57" s="36">
        <f>'Expence-20'!E57</f>
        <v>0</v>
      </c>
      <c r="I57" s="36">
        <f>'Expence-21'!E57</f>
        <v>0</v>
      </c>
      <c r="J57" s="34">
        <f t="shared" si="0"/>
        <v>0</v>
      </c>
      <c r="R57"/>
    </row>
    <row r="58" spans="1:18" ht="15" thickBot="1" x14ac:dyDescent="0.35">
      <c r="A58" s="26" t="s">
        <v>12</v>
      </c>
      <c r="B58" s="27" t="s">
        <v>57</v>
      </c>
      <c r="C58" s="36">
        <f>'Expence-15'!E58</f>
        <v>0</v>
      </c>
      <c r="D58" s="36">
        <f>'Expence-16'!E58</f>
        <v>0</v>
      </c>
      <c r="E58" s="36">
        <f>'Expence-17'!E58</f>
        <v>0</v>
      </c>
      <c r="F58" s="36">
        <f>'Expence-18'!E58</f>
        <v>0</v>
      </c>
      <c r="G58" s="36">
        <f>'Expence-19'!E58</f>
        <v>0</v>
      </c>
      <c r="H58" s="36">
        <f>'Expence-20'!E58</f>
        <v>0</v>
      </c>
      <c r="I58" s="36">
        <f>'Expence-21'!E58</f>
        <v>0</v>
      </c>
      <c r="J58" s="34">
        <f t="shared" si="0"/>
        <v>0</v>
      </c>
      <c r="R58"/>
    </row>
    <row r="59" spans="1:18" ht="15" thickBot="1" x14ac:dyDescent="0.35">
      <c r="A59" s="26" t="s">
        <v>14</v>
      </c>
      <c r="B59" s="27" t="s">
        <v>58</v>
      </c>
      <c r="C59" s="36">
        <f>'Expence-15'!E59</f>
        <v>0</v>
      </c>
      <c r="D59" s="36">
        <f>'Expence-16'!E59</f>
        <v>0</v>
      </c>
      <c r="E59" s="36">
        <f>'Expence-17'!E59</f>
        <v>0</v>
      </c>
      <c r="F59" s="36">
        <f>'Expence-18'!E59</f>
        <v>0</v>
      </c>
      <c r="G59" s="36">
        <f>'Expence-19'!E59</f>
        <v>0</v>
      </c>
      <c r="H59" s="36">
        <f>'Expence-20'!E59</f>
        <v>0</v>
      </c>
      <c r="I59" s="36">
        <f>'Expence-21'!E59</f>
        <v>0</v>
      </c>
      <c r="J59" s="34">
        <f t="shared" si="0"/>
        <v>0</v>
      </c>
      <c r="R59"/>
    </row>
    <row r="60" spans="1:18" ht="15" thickBot="1" x14ac:dyDescent="0.35">
      <c r="A60" s="26" t="s">
        <v>22</v>
      </c>
      <c r="B60" s="27" t="s">
        <v>59</v>
      </c>
      <c r="C60" s="36">
        <f>'Expence-15'!E60</f>
        <v>0</v>
      </c>
      <c r="D60" s="36">
        <f>'Expence-16'!E60</f>
        <v>0</v>
      </c>
      <c r="E60" s="36">
        <f>'Expence-17'!E60</f>
        <v>0</v>
      </c>
      <c r="F60" s="36">
        <f>'Expence-18'!E60</f>
        <v>0</v>
      </c>
      <c r="G60" s="36">
        <f>'Expence-19'!E60</f>
        <v>0</v>
      </c>
      <c r="H60" s="36">
        <f>'Expence-20'!E60</f>
        <v>0</v>
      </c>
      <c r="I60" s="36">
        <f>'Expence-21'!E60</f>
        <v>0</v>
      </c>
      <c r="J60" s="34">
        <f t="shared" si="0"/>
        <v>0</v>
      </c>
      <c r="R60"/>
    </row>
    <row r="61" spans="1:18" ht="15" thickBot="1" x14ac:dyDescent="0.35">
      <c r="A61" s="26" t="s">
        <v>24</v>
      </c>
      <c r="B61" s="27" t="s">
        <v>60</v>
      </c>
      <c r="C61" s="36">
        <f>'Expence-15'!E61</f>
        <v>11000</v>
      </c>
      <c r="D61" s="36">
        <f>'Expence-16'!E61</f>
        <v>0</v>
      </c>
      <c r="E61" s="36">
        <f>'Expence-17'!E61</f>
        <v>0</v>
      </c>
      <c r="F61" s="36">
        <f>'Expence-18'!E61</f>
        <v>0</v>
      </c>
      <c r="G61" s="36">
        <f>'Expence-19'!E61</f>
        <v>31500</v>
      </c>
      <c r="H61" s="36">
        <f>'Expence-20'!E61</f>
        <v>21000</v>
      </c>
      <c r="I61" s="36">
        <f>'Expence-21'!E61</f>
        <v>0</v>
      </c>
      <c r="J61" s="34">
        <f t="shared" si="0"/>
        <v>63500</v>
      </c>
      <c r="R61"/>
    </row>
    <row r="62" spans="1:18" ht="15" thickBot="1" x14ac:dyDescent="0.35">
      <c r="A62" s="26" t="s">
        <v>26</v>
      </c>
      <c r="B62" s="27" t="s">
        <v>61</v>
      </c>
      <c r="C62" s="36">
        <f>'Expence-15'!E62</f>
        <v>0</v>
      </c>
      <c r="D62" s="36">
        <f>'Expence-16'!E62</f>
        <v>0</v>
      </c>
      <c r="E62" s="36">
        <f>'Expence-17'!E62</f>
        <v>0</v>
      </c>
      <c r="F62" s="36">
        <f>'Expence-18'!E62</f>
        <v>0</v>
      </c>
      <c r="G62" s="36">
        <f>'Expence-19'!E62</f>
        <v>0</v>
      </c>
      <c r="H62" s="36">
        <f>'Expence-20'!E62</f>
        <v>0</v>
      </c>
      <c r="I62" s="36">
        <f>'Expence-21'!E62</f>
        <v>0</v>
      </c>
      <c r="J62" s="34">
        <f t="shared" si="0"/>
        <v>0</v>
      </c>
      <c r="R62"/>
    </row>
    <row r="63" spans="1:18" ht="15" thickBot="1" x14ac:dyDescent="0.35">
      <c r="A63" s="26" t="s">
        <v>28</v>
      </c>
      <c r="B63" s="27" t="s">
        <v>62</v>
      </c>
      <c r="C63" s="36">
        <f>'Expence-15'!E63</f>
        <v>0</v>
      </c>
      <c r="D63" s="36">
        <f>'Expence-16'!E63</f>
        <v>0</v>
      </c>
      <c r="E63" s="36">
        <f>'Expence-17'!E63</f>
        <v>0</v>
      </c>
      <c r="F63" s="36">
        <f>'Expence-18'!E63</f>
        <v>0</v>
      </c>
      <c r="G63" s="36">
        <f>'Expence-19'!E63</f>
        <v>0</v>
      </c>
      <c r="H63" s="36">
        <f>'Expence-20'!E63</f>
        <v>0</v>
      </c>
      <c r="I63" s="36">
        <f>'Expence-21'!E63</f>
        <v>0</v>
      </c>
      <c r="J63" s="34">
        <f t="shared" si="0"/>
        <v>0</v>
      </c>
      <c r="R63"/>
    </row>
    <row r="64" spans="1:18" ht="15" thickBot="1" x14ac:dyDescent="0.35">
      <c r="A64" s="26" t="s">
        <v>30</v>
      </c>
      <c r="B64" s="27" t="s">
        <v>63</v>
      </c>
      <c r="C64" s="36">
        <f>'Expence-15'!E64</f>
        <v>0</v>
      </c>
      <c r="D64" s="36">
        <f>'Expence-16'!E64</f>
        <v>0</v>
      </c>
      <c r="E64" s="36">
        <f>'Expence-17'!E64</f>
        <v>0</v>
      </c>
      <c r="F64" s="36">
        <f>'Expence-18'!E64</f>
        <v>0</v>
      </c>
      <c r="G64" s="36">
        <f>'Expence-19'!E64</f>
        <v>0</v>
      </c>
      <c r="H64" s="36">
        <f>'Expence-20'!E64</f>
        <v>0</v>
      </c>
      <c r="I64" s="36">
        <f>'Expence-21'!E64</f>
        <v>0</v>
      </c>
      <c r="J64" s="34">
        <f t="shared" si="0"/>
        <v>0</v>
      </c>
      <c r="R64"/>
    </row>
    <row r="65" spans="1:18" ht="15" thickBot="1" x14ac:dyDescent="0.35">
      <c r="A65" s="26" t="s">
        <v>32</v>
      </c>
      <c r="B65" s="27" t="s">
        <v>64</v>
      </c>
      <c r="C65" s="36">
        <f>'Expence-15'!E65</f>
        <v>0</v>
      </c>
      <c r="D65" s="36">
        <f>'Expence-16'!E65</f>
        <v>0</v>
      </c>
      <c r="E65" s="36">
        <f>'Expence-17'!E65</f>
        <v>0</v>
      </c>
      <c r="F65" s="36">
        <f>'Expence-18'!E65</f>
        <v>0</v>
      </c>
      <c r="G65" s="36">
        <f>'Expence-19'!E65</f>
        <v>0</v>
      </c>
      <c r="H65" s="36">
        <f>'Expence-20'!E65</f>
        <v>0</v>
      </c>
      <c r="I65" s="36">
        <f>'Expence-21'!E65</f>
        <v>0</v>
      </c>
      <c r="J65" s="34">
        <f t="shared" si="0"/>
        <v>0</v>
      </c>
      <c r="R65"/>
    </row>
    <row r="66" spans="1:18" ht="15" thickBot="1" x14ac:dyDescent="0.35">
      <c r="A66" s="26" t="s">
        <v>34</v>
      </c>
      <c r="B66" s="27" t="s">
        <v>65</v>
      </c>
      <c r="C66" s="36">
        <f>'Expence-15'!E66</f>
        <v>0</v>
      </c>
      <c r="D66" s="36">
        <f>'Expence-16'!E66</f>
        <v>0</v>
      </c>
      <c r="E66" s="36">
        <f>'Expence-17'!E66</f>
        <v>0</v>
      </c>
      <c r="F66" s="36">
        <f>'Expence-18'!E66</f>
        <v>0</v>
      </c>
      <c r="G66" s="36">
        <f>'Expence-19'!E66</f>
        <v>0</v>
      </c>
      <c r="H66" s="36">
        <f>'Expence-20'!E66</f>
        <v>0</v>
      </c>
      <c r="I66" s="36">
        <f>'Expence-21'!E66</f>
        <v>0</v>
      </c>
      <c r="J66" s="34">
        <f t="shared" si="0"/>
        <v>0</v>
      </c>
      <c r="R66"/>
    </row>
    <row r="67" spans="1:18" ht="15" thickBot="1" x14ac:dyDescent="0.35">
      <c r="A67" s="26" t="s">
        <v>66</v>
      </c>
      <c r="B67" s="27" t="s">
        <v>67</v>
      </c>
      <c r="C67" s="36">
        <f>'Expence-15'!E67</f>
        <v>0</v>
      </c>
      <c r="D67" s="36">
        <f>'Expence-16'!E67</f>
        <v>0</v>
      </c>
      <c r="E67" s="36">
        <f>'Expence-17'!E67</f>
        <v>0</v>
      </c>
      <c r="F67" s="36">
        <f>'Expence-18'!E67</f>
        <v>0</v>
      </c>
      <c r="G67" s="36">
        <f>'Expence-19'!E67</f>
        <v>0</v>
      </c>
      <c r="H67" s="36">
        <f>'Expence-20'!E67</f>
        <v>0</v>
      </c>
      <c r="I67" s="36">
        <f>'Expence-21'!E67</f>
        <v>0</v>
      </c>
      <c r="J67" s="34">
        <f t="shared" si="0"/>
        <v>0</v>
      </c>
      <c r="R67"/>
    </row>
    <row r="68" spans="1:18" ht="15" thickBot="1" x14ac:dyDescent="0.35">
      <c r="A68" s="26" t="s">
        <v>68</v>
      </c>
      <c r="B68" s="27" t="s">
        <v>69</v>
      </c>
      <c r="C68" s="36">
        <f>'Expence-15'!E68</f>
        <v>0</v>
      </c>
      <c r="D68" s="36">
        <f>'Expence-16'!E68</f>
        <v>0</v>
      </c>
      <c r="E68" s="36">
        <f>'Expence-17'!E68</f>
        <v>0</v>
      </c>
      <c r="F68" s="36">
        <f>'Expence-18'!E68</f>
        <v>0</v>
      </c>
      <c r="G68" s="36">
        <f>'Expence-19'!E68</f>
        <v>0</v>
      </c>
      <c r="H68" s="36">
        <f>'Expence-20'!E68</f>
        <v>0</v>
      </c>
      <c r="I68" s="36">
        <f>'Expence-21'!E68</f>
        <v>0</v>
      </c>
      <c r="J68" s="34">
        <f t="shared" ref="J68:J113" si="1">SUM(C68:I68)</f>
        <v>0</v>
      </c>
      <c r="R68"/>
    </row>
    <row r="69" spans="1:18" ht="15" thickBot="1" x14ac:dyDescent="0.35">
      <c r="A69" s="26" t="s">
        <v>70</v>
      </c>
      <c r="B69" s="27" t="s">
        <v>71</v>
      </c>
      <c r="C69" s="36">
        <f>'Expence-15'!E69</f>
        <v>0</v>
      </c>
      <c r="D69" s="36">
        <f>'Expence-16'!E69</f>
        <v>0</v>
      </c>
      <c r="E69" s="36">
        <f>'Expence-17'!E69</f>
        <v>0</v>
      </c>
      <c r="F69" s="36">
        <f>'Expence-18'!E69</f>
        <v>0</v>
      </c>
      <c r="G69" s="36">
        <f>'Expence-19'!E69</f>
        <v>13000</v>
      </c>
      <c r="H69" s="36">
        <f>'Expence-20'!E69</f>
        <v>0</v>
      </c>
      <c r="I69" s="36">
        <f>'Expence-21'!E69</f>
        <v>0</v>
      </c>
      <c r="J69" s="34">
        <f t="shared" si="1"/>
        <v>13000</v>
      </c>
      <c r="R69"/>
    </row>
    <row r="70" spans="1:18" ht="15" thickBot="1" x14ac:dyDescent="0.35">
      <c r="A70" s="26" t="s">
        <v>72</v>
      </c>
      <c r="B70" s="27" t="s">
        <v>73</v>
      </c>
      <c r="C70" s="36">
        <f>'Expence-15'!E70</f>
        <v>0</v>
      </c>
      <c r="D70" s="36">
        <f>'Expence-16'!E70</f>
        <v>0</v>
      </c>
      <c r="E70" s="36">
        <f>'Expence-17'!E70</f>
        <v>0</v>
      </c>
      <c r="F70" s="36">
        <f>'Expence-18'!E70</f>
        <v>0</v>
      </c>
      <c r="G70" s="36">
        <f>'Expence-19'!E70</f>
        <v>0</v>
      </c>
      <c r="H70" s="36">
        <f>'Expence-20'!E70</f>
        <v>0</v>
      </c>
      <c r="I70" s="36">
        <f>'Expence-21'!E70</f>
        <v>0</v>
      </c>
      <c r="J70" s="34">
        <f t="shared" si="1"/>
        <v>0</v>
      </c>
      <c r="R70"/>
    </row>
    <row r="71" spans="1:18" ht="15" thickBot="1" x14ac:dyDescent="0.35">
      <c r="A71" s="26" t="s">
        <v>74</v>
      </c>
      <c r="B71" s="27" t="s">
        <v>75</v>
      </c>
      <c r="C71" s="36">
        <f>'Expence-15'!E71</f>
        <v>0</v>
      </c>
      <c r="D71" s="36">
        <f>'Expence-16'!E71</f>
        <v>0</v>
      </c>
      <c r="E71" s="36">
        <f>'Expence-17'!E71</f>
        <v>0</v>
      </c>
      <c r="F71" s="36">
        <f>'Expence-18'!E71</f>
        <v>0</v>
      </c>
      <c r="G71" s="36">
        <f>'Expence-19'!E71</f>
        <v>0</v>
      </c>
      <c r="H71" s="36">
        <f>'Expence-20'!E71</f>
        <v>0</v>
      </c>
      <c r="I71" s="36">
        <f>'Expence-21'!E71</f>
        <v>0</v>
      </c>
      <c r="J71" s="34">
        <f t="shared" si="1"/>
        <v>0</v>
      </c>
      <c r="R71"/>
    </row>
    <row r="72" spans="1:18" ht="15" thickBot="1" x14ac:dyDescent="0.35">
      <c r="A72" s="11" t="s">
        <v>79</v>
      </c>
      <c r="B72" s="14" t="s">
        <v>84</v>
      </c>
      <c r="C72" s="36">
        <f>'Expence-15'!E72</f>
        <v>0</v>
      </c>
      <c r="D72" s="36">
        <f>'Expence-16'!E72</f>
        <v>0</v>
      </c>
      <c r="E72" s="36">
        <f>'Expence-17'!E72</f>
        <v>0</v>
      </c>
      <c r="F72" s="36">
        <f>'Expence-18'!E72</f>
        <v>0</v>
      </c>
      <c r="G72" s="36">
        <f>'Expence-19'!E72</f>
        <v>0</v>
      </c>
      <c r="H72" s="36">
        <f>'Expence-20'!E72</f>
        <v>6600</v>
      </c>
      <c r="I72" s="36">
        <f>'Expence-21'!E72</f>
        <v>0</v>
      </c>
      <c r="J72" s="34">
        <f t="shared" si="1"/>
        <v>6600</v>
      </c>
      <c r="R72"/>
    </row>
    <row r="73" spans="1:18" ht="15" thickBot="1" x14ac:dyDescent="0.35">
      <c r="A73" s="11" t="s">
        <v>85</v>
      </c>
      <c r="B73" s="14" t="s">
        <v>86</v>
      </c>
      <c r="C73" s="36">
        <f>'Expence-15'!E73</f>
        <v>0</v>
      </c>
      <c r="D73" s="36">
        <f>'Expence-16'!E73</f>
        <v>0</v>
      </c>
      <c r="E73" s="36">
        <f>'Expence-17'!E73</f>
        <v>0</v>
      </c>
      <c r="F73" s="36">
        <f>'Expence-18'!E73</f>
        <v>0</v>
      </c>
      <c r="G73" s="36">
        <f>'Expence-19'!E73</f>
        <v>0</v>
      </c>
      <c r="H73" s="36">
        <f>'Expence-20'!E73</f>
        <v>0</v>
      </c>
      <c r="I73" s="36">
        <f>'Expence-21'!E73</f>
        <v>0</v>
      </c>
      <c r="J73" s="34">
        <f t="shared" si="1"/>
        <v>0</v>
      </c>
      <c r="R73"/>
    </row>
    <row r="74" spans="1:18" ht="15" thickBot="1" x14ac:dyDescent="0.35">
      <c r="A74" s="11" t="s">
        <v>87</v>
      </c>
      <c r="B74" s="14" t="s">
        <v>88</v>
      </c>
      <c r="C74" s="36">
        <f>'Expence-15'!E74</f>
        <v>0</v>
      </c>
      <c r="D74" s="36">
        <f>'Expence-16'!E74</f>
        <v>0</v>
      </c>
      <c r="E74" s="36">
        <f>'Expence-17'!E74</f>
        <v>0</v>
      </c>
      <c r="F74" s="36">
        <f>'Expence-18'!E74</f>
        <v>0</v>
      </c>
      <c r="G74" s="36">
        <f>'Expence-19'!E74</f>
        <v>0</v>
      </c>
      <c r="H74" s="36">
        <f>'Expence-20'!E74</f>
        <v>0</v>
      </c>
      <c r="I74" s="36">
        <f>'Expence-21'!E74</f>
        <v>0</v>
      </c>
      <c r="J74" s="34">
        <f t="shared" si="1"/>
        <v>0</v>
      </c>
      <c r="R74"/>
    </row>
    <row r="75" spans="1:18" ht="15" thickBot="1" x14ac:dyDescent="0.35">
      <c r="A75" s="11" t="s">
        <v>118</v>
      </c>
      <c r="B75" s="14" t="s">
        <v>119</v>
      </c>
      <c r="C75" s="36">
        <f>'Expence-15'!E75</f>
        <v>0</v>
      </c>
      <c r="D75" s="36">
        <f>'Expence-16'!E75</f>
        <v>0</v>
      </c>
      <c r="E75" s="36">
        <f>'Expence-17'!E75</f>
        <v>0</v>
      </c>
      <c r="F75" s="36">
        <f>'Expence-18'!E75</f>
        <v>0</v>
      </c>
      <c r="G75" s="36">
        <f>'Expence-19'!E75</f>
        <v>6300</v>
      </c>
      <c r="H75" s="36">
        <f>'Expence-20'!E75</f>
        <v>6300</v>
      </c>
      <c r="I75" s="36">
        <f>'Expence-21'!E75</f>
        <v>0</v>
      </c>
      <c r="J75" s="34">
        <f t="shared" si="1"/>
        <v>12600</v>
      </c>
      <c r="R75"/>
    </row>
    <row r="76" spans="1:18" ht="15" thickBot="1" x14ac:dyDescent="0.35">
      <c r="A76" s="27"/>
      <c r="B76" s="27"/>
      <c r="C76" s="36">
        <f>'Expence-15'!E76</f>
        <v>0</v>
      </c>
      <c r="D76" s="36">
        <f>'Expence-16'!E76</f>
        <v>0</v>
      </c>
      <c r="E76" s="36">
        <f>'Expence-17'!E76</f>
        <v>0</v>
      </c>
      <c r="F76" s="36">
        <f>'Expence-18'!E76</f>
        <v>0</v>
      </c>
      <c r="G76" s="36">
        <f>'Expence-19'!E76</f>
        <v>0</v>
      </c>
      <c r="H76" s="36">
        <f>'Expence-20'!E76</f>
        <v>0</v>
      </c>
      <c r="I76" s="36">
        <f>'Expence-21'!E76</f>
        <v>0</v>
      </c>
      <c r="J76" s="34">
        <f t="shared" si="1"/>
        <v>0</v>
      </c>
      <c r="R76"/>
    </row>
    <row r="77" spans="1:18" ht="15" thickBot="1" x14ac:dyDescent="0.35">
      <c r="A77" s="31">
        <v>7</v>
      </c>
      <c r="B77" s="22" t="s">
        <v>76</v>
      </c>
      <c r="C77" s="36">
        <f>'Expence-15'!E77</f>
        <v>0</v>
      </c>
      <c r="D77" s="36">
        <f>'Expence-16'!E77</f>
        <v>0</v>
      </c>
      <c r="E77" s="36">
        <f>'Expence-17'!E77</f>
        <v>0</v>
      </c>
      <c r="F77" s="36">
        <f>'Expence-18'!E77</f>
        <v>0</v>
      </c>
      <c r="G77" s="36">
        <f>'Expence-19'!E77</f>
        <v>0</v>
      </c>
      <c r="H77" s="36">
        <f>'Expence-20'!E77</f>
        <v>0</v>
      </c>
      <c r="I77" s="36">
        <f>'Expence-21'!E77</f>
        <v>0</v>
      </c>
      <c r="J77" s="34">
        <f t="shared" si="1"/>
        <v>0</v>
      </c>
      <c r="R77"/>
    </row>
    <row r="78" spans="1:18" ht="15" thickBot="1" x14ac:dyDescent="0.35">
      <c r="A78" s="26" t="s">
        <v>6</v>
      </c>
      <c r="B78" s="27" t="s">
        <v>77</v>
      </c>
      <c r="C78" s="36">
        <f>'Expence-15'!E78</f>
        <v>0</v>
      </c>
      <c r="D78" s="36">
        <f>'Expence-16'!E78</f>
        <v>0</v>
      </c>
      <c r="E78" s="36">
        <f>'Expence-17'!E78</f>
        <v>0</v>
      </c>
      <c r="F78" s="36">
        <f>'Expence-18'!E78</f>
        <v>0</v>
      </c>
      <c r="G78" s="36">
        <f>'Expence-19'!E78</f>
        <v>0</v>
      </c>
      <c r="H78" s="36">
        <f>'Expence-20'!E78</f>
        <v>0</v>
      </c>
      <c r="I78" s="36">
        <f>'Expence-21'!E78</f>
        <v>0</v>
      </c>
      <c r="J78" s="34">
        <f t="shared" si="1"/>
        <v>0</v>
      </c>
      <c r="R78"/>
    </row>
    <row r="79" spans="1:18" ht="15" thickBot="1" x14ac:dyDescent="0.35">
      <c r="A79" s="26" t="s">
        <v>8</v>
      </c>
      <c r="B79" s="27" t="s">
        <v>78</v>
      </c>
      <c r="C79" s="36">
        <f>'Expence-15'!E79</f>
        <v>0</v>
      </c>
      <c r="D79" s="36">
        <f>'Expence-16'!E79</f>
        <v>0</v>
      </c>
      <c r="E79" s="36">
        <f>'Expence-17'!E79</f>
        <v>0</v>
      </c>
      <c r="F79" s="36">
        <f>'Expence-18'!E79</f>
        <v>0</v>
      </c>
      <c r="G79" s="36">
        <f>'Expence-19'!E79</f>
        <v>0</v>
      </c>
      <c r="H79" s="36">
        <f>'Expence-20'!E79</f>
        <v>0</v>
      </c>
      <c r="I79" s="36">
        <f>'Expence-21'!E79</f>
        <v>0</v>
      </c>
      <c r="J79" s="34">
        <f t="shared" si="1"/>
        <v>0</v>
      </c>
      <c r="R79"/>
    </row>
    <row r="80" spans="1:18" ht="15" thickBot="1" x14ac:dyDescent="0.35">
      <c r="A80" s="36"/>
      <c r="B80" s="36"/>
      <c r="C80" s="36">
        <f>'Expence-15'!E80</f>
        <v>0</v>
      </c>
      <c r="D80" s="36">
        <f>'Expence-16'!E80</f>
        <v>0</v>
      </c>
      <c r="E80" s="36">
        <f>'Expence-17'!E80</f>
        <v>0</v>
      </c>
      <c r="F80" s="36">
        <f>'Expence-18'!E80</f>
        <v>0</v>
      </c>
      <c r="G80" s="36">
        <f>'Expence-19'!E80</f>
        <v>0</v>
      </c>
      <c r="H80" s="36">
        <f>'Expence-20'!E80</f>
        <v>0</v>
      </c>
      <c r="I80" s="36">
        <f>'Expence-21'!E80</f>
        <v>0</v>
      </c>
      <c r="J80" s="34">
        <f t="shared" si="1"/>
        <v>0</v>
      </c>
      <c r="R80"/>
    </row>
    <row r="81" spans="1:18" ht="15" thickBot="1" x14ac:dyDescent="0.35">
      <c r="A81" s="31">
        <v>8</v>
      </c>
      <c r="B81" s="22" t="s">
        <v>96</v>
      </c>
      <c r="C81" s="36">
        <f>'Expence-15'!E81</f>
        <v>0</v>
      </c>
      <c r="D81" s="36">
        <f>'Expence-16'!E81</f>
        <v>0</v>
      </c>
      <c r="E81" s="36">
        <f>'Expence-17'!E81</f>
        <v>0</v>
      </c>
      <c r="F81" s="36">
        <f>'Expence-18'!E81</f>
        <v>0</v>
      </c>
      <c r="G81" s="36">
        <f>'Expence-19'!E81</f>
        <v>0</v>
      </c>
      <c r="H81" s="36">
        <f>'Expence-20'!E81</f>
        <v>0</v>
      </c>
      <c r="I81" s="36">
        <f>'Expence-21'!E81</f>
        <v>0</v>
      </c>
      <c r="J81" s="34">
        <f t="shared" si="1"/>
        <v>0</v>
      </c>
      <c r="R81"/>
    </row>
    <row r="82" spans="1:18" ht="15" thickBot="1" x14ac:dyDescent="0.35">
      <c r="A82" s="47" t="s">
        <v>6</v>
      </c>
      <c r="B82" s="14" t="s">
        <v>97</v>
      </c>
      <c r="C82" s="36">
        <f>'Expence-15'!E82</f>
        <v>12100</v>
      </c>
      <c r="D82" s="36">
        <f>'Expence-16'!E82</f>
        <v>0</v>
      </c>
      <c r="E82" s="36">
        <f>'Expence-17'!E82</f>
        <v>0</v>
      </c>
      <c r="F82" s="36">
        <f>'Expence-18'!E82</f>
        <v>13000</v>
      </c>
      <c r="G82" s="36">
        <f>'Expence-19'!E82</f>
        <v>0</v>
      </c>
      <c r="H82" s="36">
        <f>'Expence-20'!E82</f>
        <v>0</v>
      </c>
      <c r="I82" s="36">
        <f>'Expence-21'!E82</f>
        <v>0</v>
      </c>
      <c r="J82" s="34">
        <f t="shared" si="1"/>
        <v>25100</v>
      </c>
      <c r="R82"/>
    </row>
    <row r="83" spans="1:18" ht="15" thickBot="1" x14ac:dyDescent="0.35">
      <c r="A83" s="47" t="s">
        <v>8</v>
      </c>
      <c r="B83" s="14" t="s">
        <v>100</v>
      </c>
      <c r="C83" s="36">
        <f>'Expence-15'!E83</f>
        <v>2500</v>
      </c>
      <c r="D83" s="36">
        <f>'Expence-16'!E83</f>
        <v>0</v>
      </c>
      <c r="E83" s="36">
        <f>'Expence-17'!E83</f>
        <v>0</v>
      </c>
      <c r="F83" s="36">
        <f>'Expence-18'!E83</f>
        <v>0</v>
      </c>
      <c r="G83" s="36">
        <f>'Expence-19'!E83</f>
        <v>0</v>
      </c>
      <c r="H83" s="36">
        <f>'Expence-20'!E83</f>
        <v>0</v>
      </c>
      <c r="I83" s="36">
        <f>'Expence-21'!E83</f>
        <v>0</v>
      </c>
      <c r="J83" s="34">
        <f t="shared" si="1"/>
        <v>2500</v>
      </c>
      <c r="R83"/>
    </row>
    <row r="84" spans="1:18" ht="15" thickBot="1" x14ac:dyDescent="0.35">
      <c r="A84" s="47" t="s">
        <v>10</v>
      </c>
      <c r="B84" s="14" t="s">
        <v>101</v>
      </c>
      <c r="C84" s="36">
        <f>'Expence-15'!E84</f>
        <v>6000</v>
      </c>
      <c r="D84" s="36">
        <f>'Expence-16'!E84</f>
        <v>0</v>
      </c>
      <c r="E84" s="36">
        <f>'Expence-17'!E84</f>
        <v>0</v>
      </c>
      <c r="F84" s="36">
        <f>'Expence-18'!E84</f>
        <v>0</v>
      </c>
      <c r="G84" s="36">
        <f>'Expence-19'!E84</f>
        <v>6000</v>
      </c>
      <c r="H84" s="36">
        <f>'Expence-20'!E84</f>
        <v>0</v>
      </c>
      <c r="I84" s="36">
        <f>'Expence-21'!E84</f>
        <v>0</v>
      </c>
      <c r="J84" s="34">
        <f t="shared" si="1"/>
        <v>12000</v>
      </c>
      <c r="R84"/>
    </row>
    <row r="85" spans="1:18" ht="15" thickBot="1" x14ac:dyDescent="0.35">
      <c r="A85" s="47" t="s">
        <v>12</v>
      </c>
      <c r="B85" s="14" t="s">
        <v>102</v>
      </c>
      <c r="C85" s="36">
        <f>'Expence-15'!E85</f>
        <v>0</v>
      </c>
      <c r="D85" s="36">
        <f>'Expence-16'!E85</f>
        <v>0</v>
      </c>
      <c r="E85" s="36">
        <f>'Expence-17'!E85</f>
        <v>3000</v>
      </c>
      <c r="F85" s="36">
        <f>'Expence-18'!E85</f>
        <v>0</v>
      </c>
      <c r="G85" s="36">
        <f>'Expence-19'!E85</f>
        <v>0</v>
      </c>
      <c r="H85" s="36">
        <f>'Expence-20'!E85</f>
        <v>0</v>
      </c>
      <c r="I85" s="36">
        <f>'Expence-21'!E85</f>
        <v>0</v>
      </c>
      <c r="J85" s="34">
        <f t="shared" si="1"/>
        <v>3000</v>
      </c>
      <c r="R85"/>
    </row>
    <row r="86" spans="1:18" ht="15" thickBot="1" x14ac:dyDescent="0.35">
      <c r="A86" s="47" t="s">
        <v>14</v>
      </c>
      <c r="B86" s="14" t="s">
        <v>104</v>
      </c>
      <c r="C86" s="36">
        <f>'Expence-15'!E86</f>
        <v>0</v>
      </c>
      <c r="D86" s="36">
        <f>'Expence-16'!E86</f>
        <v>0</v>
      </c>
      <c r="E86" s="36">
        <f>'Expence-17'!E86</f>
        <v>1500</v>
      </c>
      <c r="F86" s="36">
        <f>'Expence-18'!E86</f>
        <v>0</v>
      </c>
      <c r="G86" s="36">
        <f>'Expence-19'!E86</f>
        <v>0</v>
      </c>
      <c r="H86" s="36">
        <f>'Expence-20'!E86</f>
        <v>0</v>
      </c>
      <c r="I86" s="36">
        <f>'Expence-21'!E86</f>
        <v>0</v>
      </c>
      <c r="J86" s="34">
        <f t="shared" si="1"/>
        <v>1500</v>
      </c>
      <c r="R86"/>
    </row>
    <row r="87" spans="1:18" ht="15" thickBot="1" x14ac:dyDescent="0.35">
      <c r="A87" s="47" t="s">
        <v>22</v>
      </c>
      <c r="B87" s="14" t="s">
        <v>105</v>
      </c>
      <c r="C87" s="36">
        <f>'Expence-15'!E87</f>
        <v>0</v>
      </c>
      <c r="D87" s="36">
        <f>'Expence-16'!E87</f>
        <v>0</v>
      </c>
      <c r="E87" s="36">
        <f>'Expence-17'!E87</f>
        <v>1200</v>
      </c>
      <c r="F87" s="36">
        <f>'Expence-18'!E87</f>
        <v>0</v>
      </c>
      <c r="G87" s="36">
        <f>'Expence-19'!E87</f>
        <v>0</v>
      </c>
      <c r="H87" s="36">
        <f>'Expence-20'!E87</f>
        <v>0</v>
      </c>
      <c r="I87" s="36">
        <f>'Expence-21'!E87</f>
        <v>0</v>
      </c>
      <c r="J87" s="34">
        <f t="shared" si="1"/>
        <v>1200</v>
      </c>
      <c r="R87"/>
    </row>
    <row r="88" spans="1:18" ht="15" thickBot="1" x14ac:dyDescent="0.35">
      <c r="A88" s="47" t="s">
        <v>24</v>
      </c>
      <c r="B88" s="14" t="s">
        <v>106</v>
      </c>
      <c r="C88" s="36">
        <f>'Expence-15'!E88</f>
        <v>0</v>
      </c>
      <c r="D88" s="36">
        <f>'Expence-16'!E88</f>
        <v>0</v>
      </c>
      <c r="E88" s="36">
        <f>'Expence-17'!E88</f>
        <v>2300</v>
      </c>
      <c r="F88" s="36">
        <f>'Expence-18'!E88</f>
        <v>0</v>
      </c>
      <c r="G88" s="36">
        <f>'Expence-19'!E88</f>
        <v>0</v>
      </c>
      <c r="H88" s="36">
        <f>'Expence-20'!E88</f>
        <v>0</v>
      </c>
      <c r="I88" s="36">
        <f>'Expence-21'!E88</f>
        <v>0</v>
      </c>
      <c r="J88" s="34">
        <f t="shared" si="1"/>
        <v>2300</v>
      </c>
      <c r="R88"/>
    </row>
    <row r="89" spans="1:18" ht="15" thickBot="1" x14ac:dyDescent="0.35">
      <c r="A89" s="47" t="s">
        <v>26</v>
      </c>
      <c r="B89" s="14" t="s">
        <v>107</v>
      </c>
      <c r="C89" s="36">
        <f>'Expence-15'!E89</f>
        <v>0</v>
      </c>
      <c r="D89" s="36">
        <f>'Expence-16'!E89</f>
        <v>0</v>
      </c>
      <c r="E89" s="36">
        <f>'Expence-17'!E89</f>
        <v>1100</v>
      </c>
      <c r="F89" s="36">
        <f>'Expence-18'!E89</f>
        <v>0</v>
      </c>
      <c r="G89" s="36">
        <f>'Expence-19'!E89</f>
        <v>0</v>
      </c>
      <c r="H89" s="36">
        <f>'Expence-20'!E89</f>
        <v>0</v>
      </c>
      <c r="I89" s="36">
        <f>'Expence-21'!E89</f>
        <v>1200</v>
      </c>
      <c r="J89" s="34">
        <f t="shared" si="1"/>
        <v>2300</v>
      </c>
      <c r="R89"/>
    </row>
    <row r="90" spans="1:18" ht="15" thickBot="1" x14ac:dyDescent="0.35">
      <c r="A90" s="47" t="s">
        <v>28</v>
      </c>
      <c r="B90" s="14" t="s">
        <v>108</v>
      </c>
      <c r="C90" s="36">
        <f>'Expence-15'!E90</f>
        <v>0</v>
      </c>
      <c r="D90" s="36">
        <f>'Expence-16'!E90</f>
        <v>0</v>
      </c>
      <c r="E90" s="36">
        <f>'Expence-17'!E90</f>
        <v>300</v>
      </c>
      <c r="F90" s="36">
        <f>'Expence-18'!E90</f>
        <v>0</v>
      </c>
      <c r="G90" s="36">
        <f>'Expence-19'!E90</f>
        <v>0</v>
      </c>
      <c r="H90" s="36">
        <f>'Expence-20'!E90</f>
        <v>0</v>
      </c>
      <c r="I90" s="36">
        <f>'Expence-21'!E90</f>
        <v>0</v>
      </c>
      <c r="J90" s="34">
        <f t="shared" si="1"/>
        <v>300</v>
      </c>
      <c r="R90"/>
    </row>
    <row r="91" spans="1:18" ht="15" thickBot="1" x14ac:dyDescent="0.35">
      <c r="A91" s="47" t="s">
        <v>30</v>
      </c>
      <c r="B91" s="14" t="s">
        <v>109</v>
      </c>
      <c r="C91" s="36">
        <f>'Expence-15'!E91</f>
        <v>0</v>
      </c>
      <c r="D91" s="36">
        <f>'Expence-16'!E91</f>
        <v>0</v>
      </c>
      <c r="E91" s="36">
        <f>'Expence-17'!E91</f>
        <v>200</v>
      </c>
      <c r="F91" s="36">
        <f>'Expence-18'!E91</f>
        <v>0</v>
      </c>
      <c r="G91" s="36">
        <f>'Expence-19'!E91</f>
        <v>0</v>
      </c>
      <c r="H91" s="36">
        <f>'Expence-20'!E91</f>
        <v>0</v>
      </c>
      <c r="I91" s="36">
        <f>'Expence-21'!E91</f>
        <v>0</v>
      </c>
      <c r="J91" s="34">
        <f t="shared" si="1"/>
        <v>200</v>
      </c>
      <c r="R91"/>
    </row>
    <row r="92" spans="1:18" ht="15" thickBot="1" x14ac:dyDescent="0.35">
      <c r="A92" s="47" t="s">
        <v>32</v>
      </c>
      <c r="B92" s="14" t="s">
        <v>110</v>
      </c>
      <c r="C92" s="36">
        <f>'Expence-15'!E92</f>
        <v>0</v>
      </c>
      <c r="D92" s="36">
        <f>'Expence-16'!E92</f>
        <v>0</v>
      </c>
      <c r="E92" s="36">
        <f>'Expence-17'!E92</f>
        <v>1000</v>
      </c>
      <c r="F92" s="36">
        <f>'Expence-18'!E92</f>
        <v>0</v>
      </c>
      <c r="G92" s="36">
        <f>'Expence-19'!E92</f>
        <v>0</v>
      </c>
      <c r="H92" s="36">
        <f>'Expence-20'!E92</f>
        <v>0</v>
      </c>
      <c r="I92" s="36">
        <f>'Expence-21'!E92</f>
        <v>0</v>
      </c>
      <c r="J92" s="34">
        <f t="shared" si="1"/>
        <v>1000</v>
      </c>
      <c r="R92"/>
    </row>
    <row r="93" spans="1:18" ht="15" thickBot="1" x14ac:dyDescent="0.35">
      <c r="A93" s="47" t="s">
        <v>34</v>
      </c>
      <c r="B93" s="14" t="s">
        <v>111</v>
      </c>
      <c r="C93" s="36">
        <f>'Expence-15'!E93</f>
        <v>0</v>
      </c>
      <c r="D93" s="36">
        <f>'Expence-16'!E93</f>
        <v>0</v>
      </c>
      <c r="E93" s="36">
        <f>'Expence-17'!E93</f>
        <v>300</v>
      </c>
      <c r="F93" s="36">
        <f>'Expence-18'!E93</f>
        <v>0</v>
      </c>
      <c r="G93" s="36">
        <f>'Expence-19'!E93</f>
        <v>0</v>
      </c>
      <c r="H93" s="36">
        <f>'Expence-20'!E93</f>
        <v>0</v>
      </c>
      <c r="I93" s="36">
        <f>'Expence-21'!E93</f>
        <v>0</v>
      </c>
      <c r="J93" s="34">
        <f t="shared" si="1"/>
        <v>300</v>
      </c>
      <c r="R93"/>
    </row>
    <row r="94" spans="1:18" ht="15" thickBot="1" x14ac:dyDescent="0.35">
      <c r="A94" s="47" t="s">
        <v>66</v>
      </c>
      <c r="B94" s="14" t="s">
        <v>112</v>
      </c>
      <c r="C94" s="36">
        <f>'Expence-15'!E94</f>
        <v>0</v>
      </c>
      <c r="D94" s="36">
        <f>'Expence-16'!E94</f>
        <v>0</v>
      </c>
      <c r="E94" s="36">
        <f>'Expence-17'!E94</f>
        <v>600</v>
      </c>
      <c r="F94" s="36">
        <f>'Expence-18'!E94</f>
        <v>200</v>
      </c>
      <c r="G94" s="36">
        <f>'Expence-19'!E94</f>
        <v>0</v>
      </c>
      <c r="H94" s="36">
        <f>'Expence-20'!E94</f>
        <v>0</v>
      </c>
      <c r="I94" s="36">
        <f>'Expence-21'!E94</f>
        <v>0</v>
      </c>
      <c r="J94" s="34">
        <f t="shared" si="1"/>
        <v>800</v>
      </c>
      <c r="R94"/>
    </row>
    <row r="95" spans="1:18" ht="15" thickBot="1" x14ac:dyDescent="0.35">
      <c r="A95" s="47" t="s">
        <v>68</v>
      </c>
      <c r="B95" s="14" t="s">
        <v>113</v>
      </c>
      <c r="C95" s="36">
        <f>'Expence-15'!E95</f>
        <v>0</v>
      </c>
      <c r="D95" s="36">
        <f>'Expence-16'!E95</f>
        <v>0</v>
      </c>
      <c r="E95" s="36">
        <f>'Expence-17'!E95</f>
        <v>1000</v>
      </c>
      <c r="F95" s="36">
        <f>'Expence-18'!E95</f>
        <v>0</v>
      </c>
      <c r="G95" s="36">
        <f>'Expence-19'!E95</f>
        <v>0</v>
      </c>
      <c r="H95" s="36">
        <f>'Expence-20'!E95</f>
        <v>0</v>
      </c>
      <c r="I95" s="36">
        <f>'Expence-21'!E95</f>
        <v>0</v>
      </c>
      <c r="J95" s="34">
        <f t="shared" si="1"/>
        <v>1000</v>
      </c>
      <c r="R95"/>
    </row>
    <row r="96" spans="1:18" ht="15" thickBot="1" x14ac:dyDescent="0.35">
      <c r="A96" s="47" t="s">
        <v>70</v>
      </c>
      <c r="B96" s="14" t="s">
        <v>114</v>
      </c>
      <c r="C96" s="36">
        <f>'Expence-15'!E96</f>
        <v>0</v>
      </c>
      <c r="D96" s="36">
        <f>'Expence-16'!E96</f>
        <v>0</v>
      </c>
      <c r="E96" s="36">
        <f>'Expence-17'!E96</f>
        <v>1500</v>
      </c>
      <c r="F96" s="36">
        <f>'Expence-18'!E96</f>
        <v>0</v>
      </c>
      <c r="G96" s="36">
        <f>'Expence-19'!E96</f>
        <v>0</v>
      </c>
      <c r="H96" s="36">
        <f>'Expence-20'!E96</f>
        <v>0</v>
      </c>
      <c r="I96" s="36">
        <f>'Expence-21'!E96</f>
        <v>200</v>
      </c>
      <c r="J96" s="34">
        <f t="shared" si="1"/>
        <v>1700</v>
      </c>
      <c r="R96"/>
    </row>
    <row r="97" spans="1:18" ht="15" thickBot="1" x14ac:dyDescent="0.35">
      <c r="A97" s="47" t="s">
        <v>72</v>
      </c>
      <c r="B97" s="14" t="s">
        <v>115</v>
      </c>
      <c r="C97" s="36">
        <f>'Expence-15'!E97</f>
        <v>0</v>
      </c>
      <c r="D97" s="36">
        <f>'Expence-16'!E97</f>
        <v>0</v>
      </c>
      <c r="E97" s="36">
        <f>'Expence-17'!E97</f>
        <v>2400</v>
      </c>
      <c r="F97" s="36">
        <f>'Expence-18'!E97</f>
        <v>0</v>
      </c>
      <c r="G97" s="36">
        <f>'Expence-19'!E97</f>
        <v>0</v>
      </c>
      <c r="H97" s="36">
        <f>'Expence-20'!E97</f>
        <v>0</v>
      </c>
      <c r="I97" s="36">
        <f>'Expence-21'!E97</f>
        <v>0</v>
      </c>
      <c r="J97" s="34">
        <f t="shared" si="1"/>
        <v>2400</v>
      </c>
      <c r="R97"/>
    </row>
    <row r="98" spans="1:18" ht="15" thickBot="1" x14ac:dyDescent="0.35">
      <c r="A98" s="47" t="s">
        <v>74</v>
      </c>
      <c r="B98" s="14" t="s">
        <v>116</v>
      </c>
      <c r="C98" s="36">
        <f>'Expence-15'!E98</f>
        <v>0</v>
      </c>
      <c r="D98" s="36">
        <f>'Expence-16'!E98</f>
        <v>0</v>
      </c>
      <c r="E98" s="36">
        <f>'Expence-17'!E98</f>
        <v>0</v>
      </c>
      <c r="F98" s="36">
        <f>'Expence-18'!E98</f>
        <v>1200</v>
      </c>
      <c r="G98" s="36">
        <f>'Expence-19'!E98</f>
        <v>12100</v>
      </c>
      <c r="H98" s="36">
        <f>'Expence-20'!E98</f>
        <v>0</v>
      </c>
      <c r="I98" s="36">
        <f>'Expence-21'!E98</f>
        <v>0</v>
      </c>
      <c r="J98" s="34">
        <f t="shared" si="1"/>
        <v>13300</v>
      </c>
      <c r="R98"/>
    </row>
    <row r="99" spans="1:18" ht="15" thickBot="1" x14ac:dyDescent="0.35">
      <c r="A99" s="47" t="s">
        <v>79</v>
      </c>
      <c r="B99" s="14" t="s">
        <v>120</v>
      </c>
      <c r="C99" s="36">
        <f>'Expence-15'!E99</f>
        <v>0</v>
      </c>
      <c r="D99" s="36">
        <f>'Expence-16'!E99</f>
        <v>0</v>
      </c>
      <c r="E99" s="36">
        <f>'Expence-17'!E99</f>
        <v>0</v>
      </c>
      <c r="F99" s="36">
        <f>'Expence-18'!E99</f>
        <v>0</v>
      </c>
      <c r="G99" s="36">
        <f>'Expence-19'!E99</f>
        <v>2000</v>
      </c>
      <c r="H99" s="36">
        <f>'Expence-20'!E99</f>
        <v>0</v>
      </c>
      <c r="I99" s="36">
        <f>'Expence-21'!E99</f>
        <v>0</v>
      </c>
      <c r="J99" s="34">
        <f t="shared" si="1"/>
        <v>2000</v>
      </c>
      <c r="R99"/>
    </row>
    <row r="100" spans="1:18" ht="15" thickBot="1" x14ac:dyDescent="0.35">
      <c r="A100" s="47" t="s">
        <v>85</v>
      </c>
      <c r="B100" s="14" t="s">
        <v>121</v>
      </c>
      <c r="C100" s="36">
        <f>'Expence-15'!E100</f>
        <v>0</v>
      </c>
      <c r="D100" s="36">
        <f>'Expence-16'!E100</f>
        <v>0</v>
      </c>
      <c r="E100" s="36">
        <f>'Expence-17'!E100</f>
        <v>0</v>
      </c>
      <c r="F100" s="36">
        <f>'Expence-18'!E100</f>
        <v>0</v>
      </c>
      <c r="G100" s="36">
        <f>'Expence-19'!E100</f>
        <v>2000</v>
      </c>
      <c r="H100" s="36">
        <f>'Expence-20'!E100</f>
        <v>0</v>
      </c>
      <c r="I100" s="36">
        <f>'Expence-21'!E100</f>
        <v>0</v>
      </c>
      <c r="J100" s="34">
        <f t="shared" si="1"/>
        <v>2000</v>
      </c>
      <c r="R100"/>
    </row>
    <row r="101" spans="1:18" ht="15" thickBot="1" x14ac:dyDescent="0.35">
      <c r="A101" s="47" t="s">
        <v>87</v>
      </c>
      <c r="B101" s="14" t="s">
        <v>122</v>
      </c>
      <c r="C101" s="36">
        <f>'Expence-15'!E101</f>
        <v>0</v>
      </c>
      <c r="D101" s="36">
        <f>'Expence-16'!E101</f>
        <v>0</v>
      </c>
      <c r="E101" s="36">
        <f>'Expence-17'!E101</f>
        <v>0</v>
      </c>
      <c r="F101" s="36">
        <f>'Expence-18'!E101</f>
        <v>0</v>
      </c>
      <c r="G101" s="36">
        <f>'Expence-19'!E101</f>
        <v>1500</v>
      </c>
      <c r="H101" s="36">
        <f>'Expence-20'!E101</f>
        <v>0</v>
      </c>
      <c r="I101" s="36">
        <f>'Expence-21'!E101</f>
        <v>0</v>
      </c>
      <c r="J101" s="34">
        <f t="shared" si="1"/>
        <v>1500</v>
      </c>
      <c r="R101"/>
    </row>
    <row r="102" spans="1:18" ht="15" thickBot="1" x14ac:dyDescent="0.35">
      <c r="A102" s="47" t="s">
        <v>118</v>
      </c>
      <c r="B102" s="14" t="s">
        <v>123</v>
      </c>
      <c r="C102" s="36">
        <f>'Expence-15'!E102</f>
        <v>0</v>
      </c>
      <c r="D102" s="36">
        <f>'Expence-16'!E102</f>
        <v>0</v>
      </c>
      <c r="E102" s="36">
        <f>'Expence-17'!E102</f>
        <v>0</v>
      </c>
      <c r="F102" s="36">
        <f>'Expence-18'!E102</f>
        <v>0</v>
      </c>
      <c r="G102" s="36">
        <f>'Expence-19'!E102</f>
        <v>5000</v>
      </c>
      <c r="H102" s="36">
        <f>'Expence-20'!E102</f>
        <v>0</v>
      </c>
      <c r="I102" s="36">
        <f>'Expence-21'!E102</f>
        <v>0</v>
      </c>
      <c r="J102" s="34">
        <f t="shared" si="1"/>
        <v>5000</v>
      </c>
      <c r="R102"/>
    </row>
    <row r="103" spans="1:18" ht="15" thickBot="1" x14ac:dyDescent="0.35">
      <c r="A103" s="47" t="s">
        <v>130</v>
      </c>
      <c r="B103" s="14" t="s">
        <v>124</v>
      </c>
      <c r="C103" s="36">
        <f>'Expence-15'!E103</f>
        <v>0</v>
      </c>
      <c r="D103" s="36">
        <f>'Expence-16'!E103</f>
        <v>0</v>
      </c>
      <c r="E103" s="36">
        <f>'Expence-17'!E103</f>
        <v>0</v>
      </c>
      <c r="F103" s="36">
        <f>'Expence-18'!E103</f>
        <v>0</v>
      </c>
      <c r="G103" s="36">
        <f>'Expence-19'!E103</f>
        <v>700</v>
      </c>
      <c r="H103" s="36">
        <f>'Expence-20'!E103</f>
        <v>0</v>
      </c>
      <c r="I103" s="36">
        <f>'Expence-21'!E103</f>
        <v>0</v>
      </c>
      <c r="J103" s="34">
        <f t="shared" si="1"/>
        <v>700</v>
      </c>
      <c r="R103"/>
    </row>
    <row r="104" spans="1:18" ht="15" thickBot="1" x14ac:dyDescent="0.35">
      <c r="A104" s="47" t="s">
        <v>131</v>
      </c>
      <c r="B104" s="14" t="s">
        <v>125</v>
      </c>
      <c r="C104" s="36">
        <f>'Expence-15'!E104</f>
        <v>0</v>
      </c>
      <c r="D104" s="36">
        <f>'Expence-16'!E104</f>
        <v>0</v>
      </c>
      <c r="E104" s="36">
        <f>'Expence-17'!E104</f>
        <v>0</v>
      </c>
      <c r="F104" s="36">
        <f>'Expence-18'!E104</f>
        <v>0</v>
      </c>
      <c r="G104" s="36">
        <f>'Expence-19'!E104</f>
        <v>600</v>
      </c>
      <c r="H104" s="36">
        <f>'Expence-20'!E104</f>
        <v>0</v>
      </c>
      <c r="I104" s="36">
        <f>'Expence-21'!E104</f>
        <v>0</v>
      </c>
      <c r="J104" s="34">
        <f t="shared" si="1"/>
        <v>600</v>
      </c>
      <c r="R104"/>
    </row>
    <row r="105" spans="1:18" ht="15" thickBot="1" x14ac:dyDescent="0.35">
      <c r="A105" s="47" t="s">
        <v>132</v>
      </c>
      <c r="B105" s="14" t="s">
        <v>126</v>
      </c>
      <c r="C105" s="36">
        <f>'Expence-15'!E105</f>
        <v>0</v>
      </c>
      <c r="D105" s="36">
        <f>'Expence-16'!E105</f>
        <v>0</v>
      </c>
      <c r="E105" s="36">
        <f>'Expence-17'!E105</f>
        <v>0</v>
      </c>
      <c r="F105" s="36">
        <f>'Expence-18'!E105</f>
        <v>0</v>
      </c>
      <c r="G105" s="36">
        <f>'Expence-19'!E105</f>
        <v>450</v>
      </c>
      <c r="H105" s="36">
        <f>'Expence-20'!E105</f>
        <v>0</v>
      </c>
      <c r="I105" s="36">
        <f>'Expence-21'!E105</f>
        <v>0</v>
      </c>
      <c r="J105" s="34">
        <f t="shared" si="1"/>
        <v>450</v>
      </c>
      <c r="R105"/>
    </row>
    <row r="106" spans="1:18" ht="15" thickBot="1" x14ac:dyDescent="0.35">
      <c r="A106" s="47" t="s">
        <v>133</v>
      </c>
      <c r="B106" s="14" t="s">
        <v>127</v>
      </c>
      <c r="C106" s="36">
        <f>'Expence-15'!E106</f>
        <v>0</v>
      </c>
      <c r="D106" s="36">
        <f>'Expence-16'!E106</f>
        <v>0</v>
      </c>
      <c r="E106" s="36">
        <f>'Expence-17'!E106</f>
        <v>0</v>
      </c>
      <c r="F106" s="36">
        <f>'Expence-18'!E106</f>
        <v>0</v>
      </c>
      <c r="G106" s="36">
        <f>'Expence-19'!E106</f>
        <v>600</v>
      </c>
      <c r="H106" s="36">
        <f>'Expence-20'!E106</f>
        <v>0</v>
      </c>
      <c r="I106" s="36">
        <f>'Expence-21'!E106</f>
        <v>0</v>
      </c>
      <c r="J106" s="34">
        <f t="shared" si="1"/>
        <v>600</v>
      </c>
      <c r="R106"/>
    </row>
    <row r="107" spans="1:18" ht="15" thickBot="1" x14ac:dyDescent="0.35">
      <c r="A107" s="47" t="s">
        <v>134</v>
      </c>
      <c r="B107" s="14" t="s">
        <v>128</v>
      </c>
      <c r="C107" s="36">
        <f>'Expence-15'!E107</f>
        <v>0</v>
      </c>
      <c r="D107" s="36">
        <f>'Expence-16'!E107</f>
        <v>0</v>
      </c>
      <c r="E107" s="36">
        <f>'Expence-17'!E107</f>
        <v>0</v>
      </c>
      <c r="F107" s="36">
        <f>'Expence-18'!E107</f>
        <v>0</v>
      </c>
      <c r="G107" s="36">
        <f>'Expence-19'!E107</f>
        <v>2000</v>
      </c>
      <c r="H107" s="36">
        <f>'Expence-20'!E107</f>
        <v>0</v>
      </c>
      <c r="I107" s="36">
        <f>'Expence-21'!E107</f>
        <v>0</v>
      </c>
      <c r="J107" s="34">
        <f t="shared" si="1"/>
        <v>2000</v>
      </c>
      <c r="R107"/>
    </row>
    <row r="108" spans="1:18" ht="15" thickBot="1" x14ac:dyDescent="0.35">
      <c r="A108" s="47" t="s">
        <v>135</v>
      </c>
      <c r="B108" s="14" t="s">
        <v>129</v>
      </c>
      <c r="C108" s="36">
        <f>'Expence-15'!E108</f>
        <v>0</v>
      </c>
      <c r="D108" s="36">
        <f>'Expence-16'!E108</f>
        <v>0</v>
      </c>
      <c r="E108" s="36">
        <f>'Expence-17'!E108</f>
        <v>0</v>
      </c>
      <c r="F108" s="36">
        <f>'Expence-18'!E108</f>
        <v>0</v>
      </c>
      <c r="G108" s="36">
        <f>'Expence-19'!E108</f>
        <v>0</v>
      </c>
      <c r="H108" s="36">
        <f>'Expence-20'!E108</f>
        <v>1500</v>
      </c>
      <c r="I108" s="36">
        <f>'Expence-21'!E108</f>
        <v>0</v>
      </c>
      <c r="J108" s="34">
        <f t="shared" si="1"/>
        <v>1500</v>
      </c>
      <c r="R108"/>
    </row>
    <row r="109" spans="1:18" ht="15" thickBot="1" x14ac:dyDescent="0.35">
      <c r="A109" s="43"/>
      <c r="B109" s="44"/>
      <c r="C109" s="48"/>
      <c r="D109" s="48"/>
      <c r="E109" s="48"/>
      <c r="F109" s="48"/>
      <c r="G109" s="48"/>
      <c r="H109" s="48"/>
      <c r="I109" s="48"/>
      <c r="J109" s="34">
        <f t="shared" si="1"/>
        <v>0</v>
      </c>
      <c r="R109"/>
    </row>
    <row r="110" spans="1:18" ht="15" thickBot="1" x14ac:dyDescent="0.35">
      <c r="A110" s="43"/>
      <c r="B110" s="44"/>
      <c r="C110" s="48"/>
      <c r="D110" s="48"/>
      <c r="E110" s="48"/>
      <c r="F110" s="48"/>
      <c r="G110" s="48"/>
      <c r="H110" s="48"/>
      <c r="I110" s="48"/>
      <c r="J110" s="34">
        <f t="shared" si="1"/>
        <v>0</v>
      </c>
      <c r="R110"/>
    </row>
    <row r="111" spans="1:18" ht="15" thickBot="1" x14ac:dyDescent="0.35">
      <c r="A111" s="48"/>
      <c r="B111" s="48"/>
      <c r="C111" s="48"/>
      <c r="D111" s="48"/>
      <c r="E111" s="48"/>
      <c r="F111" s="48"/>
      <c r="G111" s="48"/>
      <c r="H111" s="48"/>
      <c r="I111" s="48"/>
      <c r="J111" s="34">
        <f t="shared" si="1"/>
        <v>0</v>
      </c>
      <c r="R111"/>
    </row>
    <row r="112" spans="1:18" ht="15" thickBot="1" x14ac:dyDescent="0.35">
      <c r="G112" s="37"/>
      <c r="H112" s="37"/>
      <c r="I112"/>
      <c r="J112" s="34">
        <f t="shared" si="1"/>
        <v>0</v>
      </c>
      <c r="R112"/>
    </row>
    <row r="113" spans="2:18" ht="15" thickBot="1" x14ac:dyDescent="0.35">
      <c r="I113" s="37"/>
      <c r="J113" s="34">
        <f t="shared" si="1"/>
        <v>0</v>
      </c>
      <c r="R113"/>
    </row>
    <row r="114" spans="2:18" s="40" customFormat="1" ht="15.6" x14ac:dyDescent="0.3">
      <c r="B114" s="40" t="s">
        <v>80</v>
      </c>
      <c r="C114" s="41">
        <f t="shared" ref="C114" si="2">SUM(C3:C113)</f>
        <v>137300</v>
      </c>
      <c r="D114" s="41">
        <f t="shared" ref="D114" si="3">SUM(D3:D113)</f>
        <v>0</v>
      </c>
      <c r="E114" s="41">
        <f t="shared" ref="E114:I114" si="4">SUM(E3:E113)</f>
        <v>88350</v>
      </c>
      <c r="F114" s="41">
        <f t="shared" si="4"/>
        <v>19900</v>
      </c>
      <c r="G114" s="41">
        <f t="shared" si="4"/>
        <v>299150</v>
      </c>
      <c r="H114" s="41">
        <f t="shared" si="4"/>
        <v>94200</v>
      </c>
      <c r="I114" s="41">
        <f t="shared" si="4"/>
        <v>6900</v>
      </c>
      <c r="J114" s="42">
        <f>SUM(J2:J113)</f>
        <v>645800</v>
      </c>
    </row>
  </sheetData>
  <pageMargins left="0.7" right="0.7" top="0.75" bottom="0.75" header="0.3" footer="0.3"/>
  <pageSetup scale="56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41"/>
  <sheetViews>
    <sheetView topLeftCell="A106" zoomScale="85" zoomScaleNormal="85" workbookViewId="0">
      <selection activeCell="D30" sqref="D3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391.66666666666669</v>
      </c>
      <c r="D3">
        <v>12</v>
      </c>
      <c r="E3" s="13">
        <f t="shared" ref="E3:E79" si="0">D3*C3</f>
        <v>4700</v>
      </c>
      <c r="J3" s="32"/>
    </row>
    <row r="4" spans="1:10" x14ac:dyDescent="0.3">
      <c r="A4" s="11" t="s">
        <v>8</v>
      </c>
      <c r="B4" t="s">
        <v>9</v>
      </c>
      <c r="C4" s="50">
        <f>4800/12</f>
        <v>400</v>
      </c>
      <c r="D4">
        <v>24</v>
      </c>
      <c r="E4" s="13">
        <f t="shared" si="0"/>
        <v>9600</v>
      </c>
    </row>
    <row r="5" spans="1:10" x14ac:dyDescent="0.3">
      <c r="A5" s="11" t="s">
        <v>10</v>
      </c>
      <c r="B5" t="s">
        <v>11</v>
      </c>
      <c r="C5" s="50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50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50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117</v>
      </c>
      <c r="C8" s="12">
        <f>6100/12</f>
        <v>508.33333333333331</v>
      </c>
      <c r="D8"/>
      <c r="E8" s="13">
        <f t="shared" si="0"/>
        <v>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3">
        <f t="shared" si="0"/>
        <v>0</v>
      </c>
    </row>
    <row r="11" spans="1:10" x14ac:dyDescent="0.3">
      <c r="A11" s="11" t="s">
        <v>6</v>
      </c>
      <c r="B11" t="s">
        <v>17</v>
      </c>
      <c r="C11" s="50">
        <v>300</v>
      </c>
      <c r="D11">
        <v>12</v>
      </c>
      <c r="E11" s="13">
        <f t="shared" si="0"/>
        <v>3600</v>
      </c>
    </row>
    <row r="12" spans="1:10" x14ac:dyDescent="0.3">
      <c r="A12" s="11" t="s">
        <v>8</v>
      </c>
      <c r="B12" t="s">
        <v>18</v>
      </c>
      <c r="C12" s="50">
        <v>300</v>
      </c>
      <c r="D12"/>
      <c r="E12" s="13">
        <f t="shared" si="0"/>
        <v>0</v>
      </c>
      <c r="J12" s="32"/>
    </row>
    <row r="13" spans="1:10" x14ac:dyDescent="0.3">
      <c r="A13" s="11" t="s">
        <v>10</v>
      </c>
      <c r="B13" t="s">
        <v>19</v>
      </c>
      <c r="C13" s="50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50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50">
        <v>1000</v>
      </c>
      <c r="D15">
        <v>10</v>
      </c>
      <c r="E15" s="13">
        <f t="shared" si="0"/>
        <v>10000</v>
      </c>
    </row>
    <row r="16" spans="1:10" x14ac:dyDescent="0.3">
      <c r="A16" s="11" t="s">
        <v>22</v>
      </c>
      <c r="B16" t="s">
        <v>23</v>
      </c>
      <c r="C16" s="50">
        <v>266.66666666666669</v>
      </c>
      <c r="D16">
        <v>36</v>
      </c>
      <c r="E16" s="13">
        <f t="shared" si="0"/>
        <v>9600</v>
      </c>
    </row>
    <row r="17" spans="1:10" x14ac:dyDescent="0.3">
      <c r="A17" s="11" t="s">
        <v>24</v>
      </c>
      <c r="B17" t="s">
        <v>25</v>
      </c>
      <c r="C17" s="50">
        <v>300</v>
      </c>
      <c r="D17"/>
      <c r="E17" s="13">
        <f t="shared" si="0"/>
        <v>0</v>
      </c>
      <c r="J17" s="32"/>
    </row>
    <row r="18" spans="1:10" x14ac:dyDescent="0.3">
      <c r="A18" s="11" t="s">
        <v>26</v>
      </c>
      <c r="B18" t="s">
        <v>27</v>
      </c>
      <c r="C18" s="50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50">
        <f>2700/12</f>
        <v>225</v>
      </c>
      <c r="D19">
        <v>24</v>
      </c>
      <c r="E19" s="13">
        <f t="shared" si="0"/>
        <v>5400</v>
      </c>
    </row>
    <row r="20" spans="1:10" x14ac:dyDescent="0.3">
      <c r="A20" s="11" t="s">
        <v>30</v>
      </c>
      <c r="B20" t="s">
        <v>31</v>
      </c>
      <c r="C20" s="50">
        <v>258.33333333333331</v>
      </c>
      <c r="D20">
        <v>36</v>
      </c>
      <c r="E20" s="13">
        <f t="shared" si="0"/>
        <v>9300</v>
      </c>
    </row>
    <row r="21" spans="1:10" x14ac:dyDescent="0.3">
      <c r="A21" s="11" t="s">
        <v>32</v>
      </c>
      <c r="B21" t="s">
        <v>33</v>
      </c>
      <c r="C21" s="50">
        <v>83.333333333333329</v>
      </c>
      <c r="D21">
        <v>24</v>
      </c>
      <c r="E21" s="13">
        <f t="shared" si="0"/>
        <v>2000</v>
      </c>
    </row>
    <row r="22" spans="1:10" x14ac:dyDescent="0.3">
      <c r="A22" s="11" t="s">
        <v>34</v>
      </c>
      <c r="B22" t="s">
        <v>35</v>
      </c>
      <c r="C22" s="50">
        <v>250</v>
      </c>
      <c r="D22">
        <v>24</v>
      </c>
      <c r="E22" s="13">
        <f t="shared" si="0"/>
        <v>6000</v>
      </c>
    </row>
    <row r="23" spans="1:10" x14ac:dyDescent="0.3">
      <c r="A23" s="11" t="s">
        <v>66</v>
      </c>
      <c r="B23" t="s">
        <v>91</v>
      </c>
      <c r="C23" s="50">
        <f>2300/12</f>
        <v>191.66666666666666</v>
      </c>
      <c r="D23">
        <v>24</v>
      </c>
      <c r="E23" s="13">
        <f t="shared" si="0"/>
        <v>4600</v>
      </c>
    </row>
    <row r="24" spans="1:10" x14ac:dyDescent="0.3">
      <c r="A24" s="11" t="s">
        <v>68</v>
      </c>
      <c r="B24" t="s">
        <v>92</v>
      </c>
      <c r="C24" s="50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50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3">
        <f t="shared" si="0"/>
        <v>0</v>
      </c>
    </row>
    <row r="29" spans="1:10" x14ac:dyDescent="0.3">
      <c r="A29" s="11" t="s">
        <v>6</v>
      </c>
      <c r="B29" t="s">
        <v>37</v>
      </c>
      <c r="C29" s="12">
        <v>30500</v>
      </c>
      <c r="D29">
        <v>1</v>
      </c>
      <c r="E29" s="13">
        <f t="shared" si="0"/>
        <v>30500</v>
      </c>
    </row>
    <row r="30" spans="1:10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50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50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50">
        <v>1000</v>
      </c>
      <c r="D35"/>
      <c r="E35" s="13">
        <f t="shared" si="0"/>
        <v>0</v>
      </c>
    </row>
    <row r="36" spans="1:10" x14ac:dyDescent="0.3">
      <c r="A36" s="11" t="s">
        <v>26</v>
      </c>
      <c r="B36" t="s">
        <v>43</v>
      </c>
      <c r="C36" s="50"/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50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50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50"/>
      <c r="D39"/>
      <c r="E39" s="13">
        <f t="shared" si="0"/>
        <v>0</v>
      </c>
    </row>
    <row r="40" spans="1:10" x14ac:dyDescent="0.3">
      <c r="A40" s="11" t="s">
        <v>34</v>
      </c>
      <c r="B40" t="s">
        <v>98</v>
      </c>
      <c r="C40" s="50">
        <f>1400/15</f>
        <v>93.333333333333329</v>
      </c>
      <c r="D40">
        <v>15</v>
      </c>
      <c r="E40" s="13">
        <f t="shared" si="0"/>
        <v>1400</v>
      </c>
    </row>
    <row r="41" spans="1:10" x14ac:dyDescent="0.3">
      <c r="A41" s="11" t="s">
        <v>66</v>
      </c>
      <c r="B41" t="s">
        <v>99</v>
      </c>
      <c r="C41" s="50">
        <v>9000</v>
      </c>
      <c r="D41">
        <v>1</v>
      </c>
      <c r="E41" s="13">
        <f t="shared" si="0"/>
        <v>9000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3">
        <f t="shared" si="0"/>
        <v>0</v>
      </c>
    </row>
    <row r="44" spans="1:10" x14ac:dyDescent="0.3">
      <c r="A44" s="11" t="s">
        <v>6</v>
      </c>
      <c r="B44" t="s">
        <v>45</v>
      </c>
      <c r="C44" s="12">
        <v>1000</v>
      </c>
      <c r="D44"/>
      <c r="E44" s="13">
        <f t="shared" si="0"/>
        <v>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D46"/>
      <c r="E46" s="13">
        <f t="shared" si="0"/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 t="shared" si="0"/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si="0"/>
        <v>0</v>
      </c>
    </row>
    <row r="49" spans="1:5" x14ac:dyDescent="0.3">
      <c r="C49" s="12"/>
      <c r="D49"/>
      <c r="E49" s="13">
        <f t="shared" si="0"/>
        <v>0</v>
      </c>
    </row>
    <row r="50" spans="1:5" x14ac:dyDescent="0.3">
      <c r="A50" s="6">
        <v>5</v>
      </c>
      <c r="B50" s="7" t="s">
        <v>50</v>
      </c>
      <c r="C50" s="9"/>
      <c r="D50" s="8"/>
      <c r="E50" s="13">
        <f t="shared" si="0"/>
        <v>0</v>
      </c>
    </row>
    <row r="51" spans="1:5" x14ac:dyDescent="0.3">
      <c r="A51" s="11" t="s">
        <v>6</v>
      </c>
      <c r="B51" t="s">
        <v>51</v>
      </c>
      <c r="C51" s="12">
        <v>100</v>
      </c>
      <c r="D51"/>
      <c r="E51" s="13">
        <f t="shared" si="0"/>
        <v>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0"/>
        <v>0</v>
      </c>
    </row>
    <row r="53" spans="1:5" x14ac:dyDescent="0.3">
      <c r="A53" s="11"/>
      <c r="C53" s="12"/>
      <c r="D53"/>
      <c r="E53" s="13">
        <f t="shared" si="0"/>
        <v>0</v>
      </c>
    </row>
    <row r="54" spans="1:5" x14ac:dyDescent="0.3">
      <c r="A54" s="6">
        <v>6</v>
      </c>
      <c r="B54" s="7" t="s">
        <v>53</v>
      </c>
      <c r="C54" s="9"/>
      <c r="D54" s="8"/>
      <c r="E54" s="13">
        <f t="shared" si="0"/>
        <v>0</v>
      </c>
    </row>
    <row r="55" spans="1:5" x14ac:dyDescent="0.3">
      <c r="A55" s="11" t="s">
        <v>6</v>
      </c>
      <c r="B55" s="14" t="s">
        <v>54</v>
      </c>
      <c r="C55" s="12">
        <v>7900</v>
      </c>
      <c r="D55"/>
      <c r="E55" s="13">
        <f t="shared" si="0"/>
        <v>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0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0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0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0"/>
        <v>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0"/>
        <v>0</v>
      </c>
    </row>
    <row r="61" spans="1:5" x14ac:dyDescent="0.3">
      <c r="A61" s="11" t="s">
        <v>24</v>
      </c>
      <c r="B61" s="14" t="s">
        <v>60</v>
      </c>
      <c r="C61">
        <f>11000/12</f>
        <v>916.66666666666663</v>
      </c>
      <c r="D61">
        <v>12</v>
      </c>
      <c r="E61" s="13">
        <f t="shared" si="0"/>
        <v>11000</v>
      </c>
    </row>
    <row r="62" spans="1:5" x14ac:dyDescent="0.3">
      <c r="A62" s="11" t="s">
        <v>26</v>
      </c>
      <c r="B62" s="14" t="s">
        <v>61</v>
      </c>
      <c r="C62" s="50">
        <v>300</v>
      </c>
      <c r="D62"/>
      <c r="E62" s="13">
        <f t="shared" si="0"/>
        <v>0</v>
      </c>
    </row>
    <row r="63" spans="1:5" x14ac:dyDescent="0.3">
      <c r="A63" s="11" t="s">
        <v>28</v>
      </c>
      <c r="B63" s="14" t="s">
        <v>62</v>
      </c>
      <c r="C63" s="50">
        <v>500</v>
      </c>
      <c r="D63"/>
      <c r="E63" s="13">
        <f t="shared" si="0"/>
        <v>0</v>
      </c>
    </row>
    <row r="64" spans="1:5" x14ac:dyDescent="0.3">
      <c r="A64" s="11" t="s">
        <v>30</v>
      </c>
      <c r="B64" s="14" t="s">
        <v>63</v>
      </c>
      <c r="C64" s="50">
        <v>700</v>
      </c>
      <c r="D64"/>
      <c r="E64" s="13">
        <f t="shared" si="0"/>
        <v>0</v>
      </c>
    </row>
    <row r="65" spans="1:13" x14ac:dyDescent="0.3">
      <c r="A65" s="11" t="s">
        <v>32</v>
      </c>
      <c r="B65" s="14" t="s">
        <v>64</v>
      </c>
      <c r="C65" s="50">
        <v>800</v>
      </c>
      <c r="D65"/>
      <c r="E65" s="13">
        <f t="shared" si="0"/>
        <v>0</v>
      </c>
    </row>
    <row r="66" spans="1:13" x14ac:dyDescent="0.3">
      <c r="A66" s="11" t="s">
        <v>34</v>
      </c>
      <c r="B66" s="14" t="s">
        <v>65</v>
      </c>
      <c r="C66" s="50">
        <v>300</v>
      </c>
      <c r="D66"/>
      <c r="E66" s="13">
        <f t="shared" si="0"/>
        <v>0</v>
      </c>
    </row>
    <row r="67" spans="1:13" x14ac:dyDescent="0.3">
      <c r="A67" s="11" t="s">
        <v>66</v>
      </c>
      <c r="B67" s="14" t="s">
        <v>67</v>
      </c>
      <c r="C67" s="50">
        <v>300</v>
      </c>
      <c r="D67"/>
      <c r="E67" s="13">
        <f t="shared" si="0"/>
        <v>0</v>
      </c>
    </row>
    <row r="68" spans="1:13" x14ac:dyDescent="0.3">
      <c r="A68" s="11" t="s">
        <v>68</v>
      </c>
      <c r="B68" s="14" t="s">
        <v>69</v>
      </c>
      <c r="C68" s="50">
        <v>600</v>
      </c>
      <c r="D68"/>
      <c r="E68" s="13">
        <f t="shared" si="0"/>
        <v>0</v>
      </c>
    </row>
    <row r="69" spans="1:13" x14ac:dyDescent="0.3">
      <c r="A69" s="11" t="s">
        <v>70</v>
      </c>
      <c r="B69" s="14" t="s">
        <v>71</v>
      </c>
      <c r="C69" s="50">
        <v>1500</v>
      </c>
      <c r="D69"/>
      <c r="E69" s="13">
        <f t="shared" si="0"/>
        <v>0</v>
      </c>
    </row>
    <row r="70" spans="1:13" x14ac:dyDescent="0.3">
      <c r="A70" s="11" t="s">
        <v>72</v>
      </c>
      <c r="B70" s="14" t="s">
        <v>73</v>
      </c>
      <c r="C70" s="12">
        <v>1000</v>
      </c>
      <c r="D70"/>
      <c r="E70" s="13">
        <f t="shared" si="0"/>
        <v>0</v>
      </c>
    </row>
    <row r="71" spans="1:13" x14ac:dyDescent="0.3">
      <c r="A71" s="11" t="s">
        <v>74</v>
      </c>
      <c r="B71" s="14" t="s">
        <v>75</v>
      </c>
      <c r="C71" s="12">
        <v>2000</v>
      </c>
      <c r="D71"/>
      <c r="E71" s="13">
        <f t="shared" si="0"/>
        <v>0</v>
      </c>
    </row>
    <row r="72" spans="1:13" x14ac:dyDescent="0.3">
      <c r="A72" s="11" t="s">
        <v>79</v>
      </c>
      <c r="B72" s="14" t="s">
        <v>84</v>
      </c>
      <c r="C72" s="12">
        <v>400</v>
      </c>
      <c r="D72"/>
      <c r="E72" s="13">
        <f t="shared" si="0"/>
        <v>0</v>
      </c>
      <c r="M72"/>
    </row>
    <row r="73" spans="1:13" x14ac:dyDescent="0.3">
      <c r="A73" s="11" t="s">
        <v>85</v>
      </c>
      <c r="B73" s="14" t="s">
        <v>86</v>
      </c>
      <c r="C73" s="12">
        <v>300</v>
      </c>
      <c r="D73"/>
      <c r="E73" s="13">
        <f t="shared" si="0"/>
        <v>0</v>
      </c>
      <c r="M73"/>
    </row>
    <row r="74" spans="1:13" x14ac:dyDescent="0.3">
      <c r="A74" s="11" t="s">
        <v>87</v>
      </c>
      <c r="B74" s="14" t="s">
        <v>88</v>
      </c>
      <c r="C74" s="12">
        <v>500</v>
      </c>
      <c r="D74"/>
      <c r="E74" s="13">
        <f t="shared" si="0"/>
        <v>0</v>
      </c>
      <c r="M74"/>
    </row>
    <row r="75" spans="1:13" x14ac:dyDescent="0.3">
      <c r="A75" s="11" t="s">
        <v>118</v>
      </c>
      <c r="B75" s="14" t="s">
        <v>119</v>
      </c>
      <c r="C75" s="12">
        <f>2100</f>
        <v>2100</v>
      </c>
      <c r="D75"/>
      <c r="E75" s="13">
        <f t="shared" si="0"/>
        <v>0</v>
      </c>
      <c r="M75"/>
    </row>
    <row r="76" spans="1:13" x14ac:dyDescent="0.3">
      <c r="C76" s="12"/>
      <c r="D76"/>
      <c r="E76" s="13">
        <f t="shared" si="0"/>
        <v>0</v>
      </c>
      <c r="M76"/>
    </row>
    <row r="77" spans="1:13" x14ac:dyDescent="0.3">
      <c r="A77" s="15">
        <v>7</v>
      </c>
      <c r="B77" s="7" t="s">
        <v>76</v>
      </c>
      <c r="C77" s="9"/>
      <c r="D77" s="8"/>
      <c r="E77" s="13">
        <f t="shared" si="0"/>
        <v>0</v>
      </c>
      <c r="M77"/>
    </row>
    <row r="78" spans="1:13" x14ac:dyDescent="0.3">
      <c r="A78" s="11" t="s">
        <v>6</v>
      </c>
      <c r="B78" s="14" t="s">
        <v>77</v>
      </c>
      <c r="C78" s="12"/>
      <c r="D78"/>
      <c r="E78" s="13">
        <f t="shared" si="0"/>
        <v>0</v>
      </c>
      <c r="M78"/>
    </row>
    <row r="79" spans="1:13" x14ac:dyDescent="0.3">
      <c r="A79" s="11" t="s">
        <v>8</v>
      </c>
      <c r="B79" s="14" t="s">
        <v>78</v>
      </c>
      <c r="C79" s="12">
        <v>2000</v>
      </c>
      <c r="D79"/>
      <c r="E79" s="13">
        <f t="shared" si="0"/>
        <v>0</v>
      </c>
      <c r="M79"/>
    </row>
    <row r="80" spans="1:13" x14ac:dyDescent="0.3">
      <c r="A80" s="11"/>
      <c r="B80" s="14"/>
      <c r="C80" s="12"/>
      <c r="D80"/>
      <c r="E80" s="13">
        <f t="shared" ref="E80:E114" si="1">D80*C80</f>
        <v>0</v>
      </c>
      <c r="M80"/>
    </row>
    <row r="81" spans="1:13" x14ac:dyDescent="0.3">
      <c r="A81" s="15">
        <v>8</v>
      </c>
      <c r="B81" s="7" t="s">
        <v>96</v>
      </c>
      <c r="C81" s="9"/>
      <c r="D81" s="8"/>
      <c r="E81" s="13">
        <f t="shared" si="1"/>
        <v>0</v>
      </c>
      <c r="M81"/>
    </row>
    <row r="82" spans="1:13" x14ac:dyDescent="0.3">
      <c r="A82" s="47" t="s">
        <v>6</v>
      </c>
      <c r="B82" s="14" t="s">
        <v>97</v>
      </c>
      <c r="C82">
        <f>12100/20</f>
        <v>605</v>
      </c>
      <c r="D82" s="12">
        <v>20</v>
      </c>
      <c r="E82" s="13">
        <f t="shared" si="1"/>
        <v>12100</v>
      </c>
      <c r="M82"/>
    </row>
    <row r="83" spans="1:13" x14ac:dyDescent="0.3">
      <c r="A83" s="47" t="s">
        <v>8</v>
      </c>
      <c r="B83" s="14" t="s">
        <v>100</v>
      </c>
      <c r="C83">
        <v>2500</v>
      </c>
      <c r="D83" s="12">
        <v>1</v>
      </c>
      <c r="E83" s="13">
        <f t="shared" si="1"/>
        <v>2500</v>
      </c>
      <c r="M83"/>
    </row>
    <row r="84" spans="1:13" x14ac:dyDescent="0.3">
      <c r="A84" s="47" t="s">
        <v>10</v>
      </c>
      <c r="B84" s="14" t="s">
        <v>101</v>
      </c>
      <c r="C84">
        <f>6000/5</f>
        <v>1200</v>
      </c>
      <c r="D84" s="12">
        <v>5</v>
      </c>
      <c r="E84" s="13">
        <f t="shared" si="1"/>
        <v>6000</v>
      </c>
      <c r="M84"/>
    </row>
    <row r="85" spans="1:13" x14ac:dyDescent="0.3">
      <c r="A85" s="47" t="s">
        <v>12</v>
      </c>
      <c r="B85" s="14" t="s">
        <v>102</v>
      </c>
      <c r="E85" s="13">
        <f t="shared" si="1"/>
        <v>0</v>
      </c>
      <c r="M85"/>
    </row>
    <row r="86" spans="1:13" x14ac:dyDescent="0.3">
      <c r="A86" s="47" t="s">
        <v>14</v>
      </c>
      <c r="B86" s="14" t="s">
        <v>104</v>
      </c>
      <c r="E86" s="13">
        <f t="shared" si="1"/>
        <v>0</v>
      </c>
      <c r="M86"/>
    </row>
    <row r="87" spans="1:13" x14ac:dyDescent="0.3">
      <c r="A87" s="47" t="s">
        <v>22</v>
      </c>
      <c r="B87" s="14" t="s">
        <v>105</v>
      </c>
      <c r="E87" s="13">
        <f t="shared" si="1"/>
        <v>0</v>
      </c>
      <c r="M87"/>
    </row>
    <row r="88" spans="1:13" x14ac:dyDescent="0.3">
      <c r="A88" s="47" t="s">
        <v>24</v>
      </c>
      <c r="B88" s="14" t="s">
        <v>106</v>
      </c>
      <c r="E88" s="13">
        <f t="shared" si="1"/>
        <v>0</v>
      </c>
      <c r="M88"/>
    </row>
    <row r="89" spans="1:13" x14ac:dyDescent="0.3">
      <c r="A89" s="47" t="s">
        <v>26</v>
      </c>
      <c r="B89" s="14" t="s">
        <v>107</v>
      </c>
      <c r="E89" s="13">
        <f t="shared" si="1"/>
        <v>0</v>
      </c>
      <c r="M89"/>
    </row>
    <row r="90" spans="1:13" x14ac:dyDescent="0.3">
      <c r="A90" s="47" t="s">
        <v>28</v>
      </c>
      <c r="B90" s="14" t="s">
        <v>108</v>
      </c>
      <c r="E90" s="13">
        <f t="shared" si="1"/>
        <v>0</v>
      </c>
      <c r="M90"/>
    </row>
    <row r="91" spans="1:13" x14ac:dyDescent="0.3">
      <c r="A91" s="47" t="s">
        <v>30</v>
      </c>
      <c r="B91" s="14" t="s">
        <v>109</v>
      </c>
      <c r="E91" s="13">
        <f t="shared" si="1"/>
        <v>0</v>
      </c>
      <c r="M91"/>
    </row>
    <row r="92" spans="1:13" x14ac:dyDescent="0.3">
      <c r="A92" s="47" t="s">
        <v>32</v>
      </c>
      <c r="B92" s="14" t="s">
        <v>110</v>
      </c>
      <c r="E92" s="13">
        <f t="shared" si="1"/>
        <v>0</v>
      </c>
      <c r="M92"/>
    </row>
    <row r="93" spans="1:13" x14ac:dyDescent="0.3">
      <c r="A93" s="47" t="s">
        <v>34</v>
      </c>
      <c r="B93" s="14" t="s">
        <v>111</v>
      </c>
      <c r="E93" s="13">
        <f t="shared" si="1"/>
        <v>0</v>
      </c>
      <c r="M93"/>
    </row>
    <row r="94" spans="1:13" x14ac:dyDescent="0.3">
      <c r="A94" s="47" t="s">
        <v>66</v>
      </c>
      <c r="B94" s="14" t="s">
        <v>112</v>
      </c>
      <c r="E94" s="13">
        <f t="shared" si="1"/>
        <v>0</v>
      </c>
      <c r="M94"/>
    </row>
    <row r="95" spans="1:13" x14ac:dyDescent="0.3">
      <c r="A95" s="47" t="s">
        <v>68</v>
      </c>
      <c r="B95" s="14" t="s">
        <v>113</v>
      </c>
      <c r="E95" s="13">
        <f t="shared" si="1"/>
        <v>0</v>
      </c>
      <c r="M95"/>
    </row>
    <row r="96" spans="1:13" x14ac:dyDescent="0.3">
      <c r="A96" s="47" t="s">
        <v>70</v>
      </c>
      <c r="B96" s="14" t="s">
        <v>114</v>
      </c>
      <c r="E96" s="13">
        <f t="shared" si="1"/>
        <v>0</v>
      </c>
      <c r="M96"/>
    </row>
    <row r="97" spans="1:13" x14ac:dyDescent="0.3">
      <c r="A97" s="47" t="s">
        <v>72</v>
      </c>
      <c r="B97" s="14" t="s">
        <v>115</v>
      </c>
      <c r="E97" s="13">
        <f t="shared" si="1"/>
        <v>0</v>
      </c>
      <c r="M97"/>
    </row>
    <row r="98" spans="1:13" x14ac:dyDescent="0.3">
      <c r="A98" s="47" t="s">
        <v>74</v>
      </c>
      <c r="B98" s="14" t="s">
        <v>116</v>
      </c>
      <c r="E98" s="13">
        <f t="shared" si="1"/>
        <v>0</v>
      </c>
      <c r="M98"/>
    </row>
    <row r="99" spans="1:13" x14ac:dyDescent="0.3">
      <c r="A99" s="47" t="s">
        <v>79</v>
      </c>
      <c r="B99" s="14" t="s">
        <v>120</v>
      </c>
      <c r="E99" s="13">
        <f t="shared" si="1"/>
        <v>0</v>
      </c>
      <c r="M99"/>
    </row>
    <row r="100" spans="1:13" x14ac:dyDescent="0.3">
      <c r="A100" s="47" t="s">
        <v>85</v>
      </c>
      <c r="B100" s="14" t="s">
        <v>121</v>
      </c>
      <c r="E100" s="13">
        <f t="shared" si="1"/>
        <v>0</v>
      </c>
      <c r="M100"/>
    </row>
    <row r="101" spans="1:13" x14ac:dyDescent="0.3">
      <c r="A101" s="47" t="s">
        <v>87</v>
      </c>
      <c r="B101" s="14" t="s">
        <v>122</v>
      </c>
      <c r="E101" s="13">
        <f t="shared" si="1"/>
        <v>0</v>
      </c>
      <c r="M101"/>
    </row>
    <row r="102" spans="1:13" x14ac:dyDescent="0.3">
      <c r="A102" s="47" t="s">
        <v>118</v>
      </c>
      <c r="B102" s="14" t="s">
        <v>123</v>
      </c>
      <c r="E102" s="13">
        <f t="shared" si="1"/>
        <v>0</v>
      </c>
      <c r="M102"/>
    </row>
    <row r="103" spans="1:13" x14ac:dyDescent="0.3">
      <c r="A103" s="47" t="s">
        <v>130</v>
      </c>
      <c r="B103" s="14" t="s">
        <v>124</v>
      </c>
      <c r="E103" s="13">
        <f t="shared" si="1"/>
        <v>0</v>
      </c>
      <c r="M103"/>
    </row>
    <row r="104" spans="1:13" x14ac:dyDescent="0.3">
      <c r="A104" s="47" t="s">
        <v>131</v>
      </c>
      <c r="B104" s="14" t="s">
        <v>125</v>
      </c>
      <c r="E104" s="13">
        <f t="shared" si="1"/>
        <v>0</v>
      </c>
      <c r="M104"/>
    </row>
    <row r="105" spans="1:13" x14ac:dyDescent="0.3">
      <c r="A105" s="47" t="s">
        <v>132</v>
      </c>
      <c r="B105" s="14" t="s">
        <v>126</v>
      </c>
      <c r="E105" s="13">
        <f t="shared" si="1"/>
        <v>0</v>
      </c>
      <c r="M105"/>
    </row>
    <row r="106" spans="1:13" x14ac:dyDescent="0.3">
      <c r="A106" s="47" t="s">
        <v>133</v>
      </c>
      <c r="B106" s="14" t="s">
        <v>127</v>
      </c>
      <c r="E106" s="13">
        <f t="shared" si="1"/>
        <v>0</v>
      </c>
      <c r="M106"/>
    </row>
    <row r="107" spans="1:13" x14ac:dyDescent="0.3">
      <c r="A107" s="47" t="s">
        <v>134</v>
      </c>
      <c r="B107" s="14" t="s">
        <v>128</v>
      </c>
      <c r="E107" s="13">
        <f t="shared" si="1"/>
        <v>0</v>
      </c>
      <c r="M107"/>
    </row>
    <row r="108" spans="1:13" x14ac:dyDescent="0.3">
      <c r="A108" s="47" t="s">
        <v>135</v>
      </c>
      <c r="B108" s="14" t="s">
        <v>129</v>
      </c>
      <c r="E108" s="13">
        <f t="shared" si="1"/>
        <v>0</v>
      </c>
      <c r="M108"/>
    </row>
    <row r="109" spans="1:13" x14ac:dyDescent="0.3">
      <c r="A109" s="47"/>
      <c r="B109" s="14"/>
      <c r="E109" s="13">
        <f t="shared" si="1"/>
        <v>0</v>
      </c>
      <c r="M109"/>
    </row>
    <row r="110" spans="1:13" x14ac:dyDescent="0.3">
      <c r="A110" s="47"/>
      <c r="B110" s="14"/>
      <c r="E110" s="13">
        <f t="shared" si="1"/>
        <v>0</v>
      </c>
      <c r="M110"/>
    </row>
    <row r="111" spans="1:13" x14ac:dyDescent="0.3">
      <c r="A111" s="47"/>
      <c r="B111" s="14"/>
      <c r="E111" s="13">
        <f t="shared" si="1"/>
        <v>0</v>
      </c>
      <c r="M111"/>
    </row>
    <row r="112" spans="1:13" x14ac:dyDescent="0.3">
      <c r="A112" s="47"/>
      <c r="B112" s="14"/>
      <c r="E112" s="13">
        <f t="shared" si="1"/>
        <v>0</v>
      </c>
      <c r="M112"/>
    </row>
    <row r="113" spans="1:13" x14ac:dyDescent="0.3">
      <c r="A113" s="47"/>
      <c r="B113" s="14"/>
      <c r="E113" s="13">
        <f t="shared" si="1"/>
        <v>0</v>
      </c>
      <c r="M113"/>
    </row>
    <row r="114" spans="1:13" x14ac:dyDescent="0.3">
      <c r="E114" s="13">
        <f t="shared" si="1"/>
        <v>0</v>
      </c>
      <c r="M114"/>
    </row>
    <row r="115" spans="1:13" x14ac:dyDescent="0.3">
      <c r="B115" t="s">
        <v>80</v>
      </c>
      <c r="E115" s="13">
        <f>SUM(E2:E114)</f>
        <v>137300</v>
      </c>
    </row>
    <row r="116" spans="1:13" x14ac:dyDescent="0.3">
      <c r="M116"/>
    </row>
    <row r="124" spans="1:13" x14ac:dyDescent="0.3">
      <c r="G124" s="14"/>
    </row>
    <row r="126" spans="1:13" x14ac:dyDescent="0.3">
      <c r="G126" s="14"/>
    </row>
    <row r="127" spans="1:13" x14ac:dyDescent="0.3">
      <c r="G127" s="14"/>
    </row>
    <row r="137" spans="7:7" x14ac:dyDescent="0.3">
      <c r="G137" s="14"/>
    </row>
    <row r="138" spans="7:7" x14ac:dyDescent="0.3">
      <c r="G138" s="14"/>
    </row>
    <row r="140" spans="7:7" x14ac:dyDescent="0.3">
      <c r="G140" s="14"/>
    </row>
    <row r="141" spans="7:7" x14ac:dyDescent="0.3">
      <c r="G141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1"/>
  <sheetViews>
    <sheetView zoomScale="99" workbookViewId="0">
      <selection activeCell="C91" sqref="C9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500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67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700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800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11" t="s">
        <v>22</v>
      </c>
      <c r="B8" t="s">
        <v>117</v>
      </c>
      <c r="C8" s="12">
        <f>6100/12</f>
        <v>508.33333333333331</v>
      </c>
      <c r="D8" s="27"/>
      <c r="E8" s="39">
        <f t="shared" si="0"/>
        <v>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400</v>
      </c>
      <c r="D11" s="27"/>
      <c r="E11" s="39">
        <f t="shared" si="0"/>
        <v>0</v>
      </c>
    </row>
    <row r="12" spans="1:10" ht="15" thickBot="1" x14ac:dyDescent="0.35">
      <c r="A12" s="26" t="s">
        <v>8</v>
      </c>
      <c r="B12" s="27" t="s">
        <v>18</v>
      </c>
      <c r="C12" s="28">
        <v>300</v>
      </c>
      <c r="D12" s="27"/>
      <c r="E12" s="39">
        <f t="shared" si="0"/>
        <v>0</v>
      </c>
      <c r="J12" s="32"/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1500</v>
      </c>
      <c r="D15" s="27"/>
      <c r="E15" s="39">
        <f t="shared" si="0"/>
        <v>0</v>
      </c>
    </row>
    <row r="16" spans="1:10" ht="15" thickBot="1" x14ac:dyDescent="0.35">
      <c r="A16" s="26" t="s">
        <v>22</v>
      </c>
      <c r="B16" s="27" t="s">
        <v>23</v>
      </c>
      <c r="C16" s="28">
        <v>400</v>
      </c>
      <c r="D16" s="28"/>
      <c r="E16" s="39">
        <f t="shared" si="0"/>
        <v>0</v>
      </c>
    </row>
    <row r="17" spans="1:10" ht="15" thickBot="1" x14ac:dyDescent="0.35">
      <c r="A17" s="26" t="s">
        <v>24</v>
      </c>
      <c r="B17" s="27" t="s">
        <v>25</v>
      </c>
      <c r="C17" s="28">
        <v>300</v>
      </c>
      <c r="D17" s="28"/>
      <c r="E17" s="39">
        <f t="shared" si="0"/>
        <v>0</v>
      </c>
      <c r="J17" s="32"/>
    </row>
    <row r="18" spans="1:10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10" ht="15" thickBot="1" x14ac:dyDescent="0.35">
      <c r="A19" s="26" t="s">
        <v>28</v>
      </c>
      <c r="B19" s="27" t="s">
        <v>29</v>
      </c>
      <c r="C19" s="28">
        <v>300</v>
      </c>
      <c r="D19" s="28"/>
      <c r="E19" s="39">
        <f t="shared" si="0"/>
        <v>0</v>
      </c>
    </row>
    <row r="20" spans="1:10" ht="15" thickBot="1" x14ac:dyDescent="0.35">
      <c r="A20" s="26" t="s">
        <v>30</v>
      </c>
      <c r="B20" s="27" t="s">
        <v>31</v>
      </c>
      <c r="C20" s="28">
        <v>400</v>
      </c>
      <c r="D20" s="28"/>
      <c r="E20" s="39">
        <f t="shared" si="0"/>
        <v>0</v>
      </c>
    </row>
    <row r="21" spans="1:10" ht="15" thickBot="1" x14ac:dyDescent="0.35">
      <c r="A21" s="26" t="s">
        <v>32</v>
      </c>
      <c r="B21" s="27" t="s">
        <v>33</v>
      </c>
      <c r="C21" s="28">
        <v>150</v>
      </c>
      <c r="D21" s="28"/>
      <c r="E21" s="39">
        <f t="shared" si="0"/>
        <v>0</v>
      </c>
    </row>
    <row r="22" spans="1:10" ht="15" thickBot="1" x14ac:dyDescent="0.35">
      <c r="A22" s="26" t="s">
        <v>34</v>
      </c>
      <c r="B22" s="27" t="s">
        <v>35</v>
      </c>
      <c r="C22" s="28">
        <v>400</v>
      </c>
      <c r="D22" s="28"/>
      <c r="E22" s="39">
        <f t="shared" si="0"/>
        <v>0</v>
      </c>
    </row>
    <row r="23" spans="1:10" ht="15" thickBot="1" x14ac:dyDescent="0.35">
      <c r="A23" s="26" t="s">
        <v>66</v>
      </c>
      <c r="B23" t="s">
        <v>91</v>
      </c>
      <c r="C23" s="28">
        <v>500</v>
      </c>
      <c r="D23" s="28"/>
      <c r="E23" s="39">
        <f t="shared" si="0"/>
        <v>0</v>
      </c>
    </row>
    <row r="24" spans="1:10" ht="15" thickBot="1" x14ac:dyDescent="0.35">
      <c r="A24" s="26" t="s">
        <v>68</v>
      </c>
      <c r="B24" t="s">
        <v>92</v>
      </c>
      <c r="C24" s="28">
        <v>400</v>
      </c>
      <c r="D24" s="28"/>
      <c r="E24" s="39">
        <f t="shared" si="0"/>
        <v>0</v>
      </c>
    </row>
    <row r="25" spans="1:10" ht="15" thickBot="1" x14ac:dyDescent="0.35">
      <c r="A25" s="26" t="s">
        <v>70</v>
      </c>
      <c r="B25" t="s">
        <v>94</v>
      </c>
      <c r="C25" s="28">
        <v>500</v>
      </c>
      <c r="D25" s="28"/>
      <c r="E25" s="39">
        <f t="shared" si="0"/>
        <v>0</v>
      </c>
    </row>
    <row r="26" spans="1:10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10" ht="15" thickBot="1" x14ac:dyDescent="0.35">
      <c r="A27" s="29"/>
      <c r="B27" s="27"/>
      <c r="C27" s="27"/>
      <c r="D27" s="27"/>
      <c r="E27" s="39">
        <f t="shared" si="0"/>
        <v>0</v>
      </c>
    </row>
    <row r="28" spans="1:10" ht="15" thickBot="1" x14ac:dyDescent="0.35">
      <c r="A28" s="21">
        <v>3</v>
      </c>
      <c r="B28" s="22" t="s">
        <v>36</v>
      </c>
      <c r="C28" s="23"/>
      <c r="D28" s="23"/>
      <c r="E28" s="39">
        <f t="shared" si="0"/>
        <v>0</v>
      </c>
    </row>
    <row r="29" spans="1:10" ht="15" thickBot="1" x14ac:dyDescent="0.35">
      <c r="A29" s="26" t="s">
        <v>6</v>
      </c>
      <c r="B29" s="27" t="s">
        <v>37</v>
      </c>
      <c r="C29" s="28">
        <v>100</v>
      </c>
      <c r="D29" s="28"/>
      <c r="E29" s="39">
        <f t="shared" si="0"/>
        <v>0</v>
      </c>
    </row>
    <row r="30" spans="1:10" ht="15" thickBot="1" x14ac:dyDescent="0.35">
      <c r="A30" s="26" t="s">
        <v>8</v>
      </c>
      <c r="B30" s="27" t="s">
        <v>38</v>
      </c>
      <c r="C30" s="28">
        <v>200</v>
      </c>
      <c r="D30" s="28"/>
      <c r="E30" s="39">
        <f t="shared" si="0"/>
        <v>0</v>
      </c>
    </row>
    <row r="31" spans="1:10" ht="15" thickBot="1" x14ac:dyDescent="0.35">
      <c r="A31" s="26" t="s">
        <v>10</v>
      </c>
      <c r="B31" s="27" t="s">
        <v>39</v>
      </c>
      <c r="C31" s="27"/>
      <c r="D31" s="27"/>
      <c r="E31" s="39">
        <f t="shared" si="0"/>
        <v>0</v>
      </c>
    </row>
    <row r="32" spans="1:10" ht="15" thickBot="1" x14ac:dyDescent="0.35">
      <c r="A32" s="26" t="s">
        <v>12</v>
      </c>
      <c r="B32" s="27" t="s">
        <v>40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14</v>
      </c>
      <c r="B33" s="27" t="s">
        <v>41</v>
      </c>
      <c r="C33" s="27">
        <v>9000</v>
      </c>
      <c r="D33" s="27"/>
      <c r="E33" s="39">
        <f t="shared" si="0"/>
        <v>0</v>
      </c>
    </row>
    <row r="34" spans="1:10" ht="15" thickBot="1" x14ac:dyDescent="0.35">
      <c r="A34" s="26" t="s">
        <v>22</v>
      </c>
      <c r="B34" s="27" t="s">
        <v>42</v>
      </c>
      <c r="C34" s="28">
        <v>1</v>
      </c>
      <c r="D34" s="27"/>
      <c r="E34" s="39">
        <f t="shared" si="0"/>
        <v>0</v>
      </c>
      <c r="J34" s="32"/>
    </row>
    <row r="35" spans="1:10" ht="15" thickBot="1" x14ac:dyDescent="0.35">
      <c r="A35" s="26" t="s">
        <v>24</v>
      </c>
      <c r="B35" s="27" t="s">
        <v>83</v>
      </c>
      <c r="C35" s="30">
        <v>1000</v>
      </c>
      <c r="D35" s="28"/>
      <c r="E35" s="39">
        <f t="shared" si="0"/>
        <v>0</v>
      </c>
    </row>
    <row r="36" spans="1:10" ht="15" thickBot="1" x14ac:dyDescent="0.35">
      <c r="A36" s="43" t="s">
        <v>26</v>
      </c>
      <c r="B36" s="44" t="s">
        <v>43</v>
      </c>
      <c r="C36" s="45">
        <v>1500</v>
      </c>
      <c r="D36" s="46"/>
      <c r="E36" s="39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9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9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39">
        <f t="shared" si="0"/>
        <v>0</v>
      </c>
    </row>
    <row r="40" spans="1:10" ht="15" thickBot="1" x14ac:dyDescent="0.35">
      <c r="A40" s="11" t="s">
        <v>34</v>
      </c>
      <c r="B40" t="s">
        <v>98</v>
      </c>
      <c r="C40" s="12"/>
      <c r="D40"/>
      <c r="E40" s="39">
        <f t="shared" si="0"/>
        <v>0</v>
      </c>
    </row>
    <row r="41" spans="1:10" ht="15" thickBot="1" x14ac:dyDescent="0.35">
      <c r="A41" s="11" t="s">
        <v>66</v>
      </c>
      <c r="B41" t="s">
        <v>99</v>
      </c>
      <c r="C41" s="12"/>
      <c r="D41"/>
      <c r="E41" s="39">
        <f t="shared" si="0"/>
        <v>0</v>
      </c>
    </row>
    <row r="42" spans="1:10" ht="15" thickBot="1" x14ac:dyDescent="0.35">
      <c r="A42" s="27"/>
      <c r="B42" s="27"/>
      <c r="C42" s="27"/>
      <c r="D42" s="27"/>
      <c r="E42" s="39">
        <f t="shared" si="0"/>
        <v>0</v>
      </c>
    </row>
    <row r="43" spans="1:10" ht="15" thickBot="1" x14ac:dyDescent="0.35">
      <c r="A43" s="21">
        <v>4</v>
      </c>
      <c r="B43" s="22" t="s">
        <v>44</v>
      </c>
      <c r="C43" s="23"/>
      <c r="D43" s="23"/>
      <c r="E43" s="39">
        <f t="shared" si="0"/>
        <v>0</v>
      </c>
    </row>
    <row r="44" spans="1:10" ht="15" thickBot="1" x14ac:dyDescent="0.35">
      <c r="A44" s="26" t="s">
        <v>6</v>
      </c>
      <c r="B44" s="27" t="s">
        <v>45</v>
      </c>
      <c r="C44" s="30">
        <v>400</v>
      </c>
      <c r="D44" s="28"/>
      <c r="E44" s="39">
        <f t="shared" si="0"/>
        <v>0</v>
      </c>
    </row>
    <row r="45" spans="1:10" ht="15" thickBot="1" x14ac:dyDescent="0.35">
      <c r="A45" s="26" t="s">
        <v>8</v>
      </c>
      <c r="B45" s="27" t="s">
        <v>46</v>
      </c>
      <c r="C45" s="28">
        <v>100</v>
      </c>
      <c r="D45" s="28"/>
      <c r="E45" s="39">
        <f t="shared" si="0"/>
        <v>0</v>
      </c>
    </row>
    <row r="46" spans="1:10" ht="15" thickBot="1" x14ac:dyDescent="0.35">
      <c r="A46" s="26" t="s">
        <v>10</v>
      </c>
      <c r="B46" s="27" t="s">
        <v>47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12</v>
      </c>
      <c r="B47" s="27" t="s">
        <v>48</v>
      </c>
      <c r="C47" s="27"/>
      <c r="D47" s="27"/>
      <c r="E47" s="39">
        <f t="shared" si="0"/>
        <v>0</v>
      </c>
    </row>
    <row r="48" spans="1:10" ht="15" thickBot="1" x14ac:dyDescent="0.35">
      <c r="A48" s="26" t="s">
        <v>14</v>
      </c>
      <c r="B48" s="27" t="s">
        <v>49</v>
      </c>
      <c r="C48" s="27"/>
      <c r="D48" s="27"/>
      <c r="E48" s="39">
        <f t="shared" si="0"/>
        <v>0</v>
      </c>
    </row>
    <row r="49" spans="1:5" ht="15" thickBot="1" x14ac:dyDescent="0.35">
      <c r="A49" s="27"/>
      <c r="B49" s="27"/>
      <c r="C49" s="27"/>
      <c r="D49" s="27"/>
      <c r="E49" s="39">
        <f t="shared" si="0"/>
        <v>0</v>
      </c>
    </row>
    <row r="50" spans="1:5" ht="15" thickBot="1" x14ac:dyDescent="0.35">
      <c r="A50" s="21">
        <v>5</v>
      </c>
      <c r="B50" s="22" t="s">
        <v>50</v>
      </c>
      <c r="C50" s="23"/>
      <c r="D50" s="23"/>
      <c r="E50" s="39">
        <f t="shared" si="0"/>
        <v>0</v>
      </c>
    </row>
    <row r="51" spans="1:5" ht="15" thickBot="1" x14ac:dyDescent="0.35">
      <c r="A51" s="26" t="s">
        <v>6</v>
      </c>
      <c r="B51" s="27" t="s">
        <v>51</v>
      </c>
      <c r="C51" s="28">
        <v>100</v>
      </c>
      <c r="D51" s="28"/>
      <c r="E51" s="39">
        <f t="shared" si="0"/>
        <v>0</v>
      </c>
    </row>
    <row r="52" spans="1:5" ht="15" thickBot="1" x14ac:dyDescent="0.35">
      <c r="A52" s="26" t="s">
        <v>8</v>
      </c>
      <c r="B52" s="27" t="s">
        <v>52</v>
      </c>
      <c r="C52" s="28">
        <v>200</v>
      </c>
      <c r="D52" s="27"/>
      <c r="E52" s="39">
        <f t="shared" si="0"/>
        <v>0</v>
      </c>
    </row>
    <row r="53" spans="1:5" ht="15" thickBot="1" x14ac:dyDescent="0.35">
      <c r="A53" s="29"/>
      <c r="B53" s="27"/>
      <c r="C53" s="27"/>
      <c r="D53" s="27"/>
      <c r="E53" s="39">
        <f t="shared" si="0"/>
        <v>0</v>
      </c>
    </row>
    <row r="54" spans="1:5" ht="15" thickBot="1" x14ac:dyDescent="0.35">
      <c r="A54" s="21">
        <v>6</v>
      </c>
      <c r="B54" s="22" t="s">
        <v>53</v>
      </c>
      <c r="C54" s="23"/>
      <c r="D54" s="23"/>
      <c r="E54" s="39">
        <f t="shared" si="0"/>
        <v>0</v>
      </c>
    </row>
    <row r="55" spans="1:5" ht="15" thickBot="1" x14ac:dyDescent="0.35">
      <c r="A55" s="26" t="s">
        <v>6</v>
      </c>
      <c r="B55" s="27" t="s">
        <v>54</v>
      </c>
      <c r="C55" s="30">
        <v>8900</v>
      </c>
      <c r="D55" s="28"/>
      <c r="E55" s="39">
        <f t="shared" si="0"/>
        <v>0</v>
      </c>
    </row>
    <row r="56" spans="1:5" ht="15" thickBot="1" x14ac:dyDescent="0.35">
      <c r="A56" s="26" t="s">
        <v>8</v>
      </c>
      <c r="B56" s="27" t="s">
        <v>55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10</v>
      </c>
      <c r="B57" s="27" t="s">
        <v>56</v>
      </c>
      <c r="C57" s="28">
        <v>700</v>
      </c>
      <c r="D57" s="27"/>
      <c r="E57" s="39">
        <f t="shared" si="0"/>
        <v>0</v>
      </c>
    </row>
    <row r="58" spans="1:5" ht="15" thickBot="1" x14ac:dyDescent="0.35">
      <c r="A58" s="26" t="s">
        <v>12</v>
      </c>
      <c r="B58" s="27" t="s">
        <v>57</v>
      </c>
      <c r="C58" s="28">
        <v>800</v>
      </c>
      <c r="D58" s="27"/>
      <c r="E58" s="39">
        <f t="shared" si="0"/>
        <v>0</v>
      </c>
    </row>
    <row r="59" spans="1:5" ht="15" thickBot="1" x14ac:dyDescent="0.35">
      <c r="A59" s="26" t="s">
        <v>14</v>
      </c>
      <c r="B59" s="27" t="s">
        <v>58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22</v>
      </c>
      <c r="B60" s="27" t="s">
        <v>59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24</v>
      </c>
      <c r="B61" s="27" t="s">
        <v>60</v>
      </c>
      <c r="C61" s="30">
        <v>1000</v>
      </c>
      <c r="D61" s="28"/>
      <c r="E61" s="39">
        <f t="shared" si="0"/>
        <v>0</v>
      </c>
    </row>
    <row r="62" spans="1:5" ht="15" thickBot="1" x14ac:dyDescent="0.35">
      <c r="A62" s="26" t="s">
        <v>26</v>
      </c>
      <c r="B62" s="27" t="s">
        <v>61</v>
      </c>
      <c r="C62" s="28">
        <v>300</v>
      </c>
      <c r="D62" s="27"/>
      <c r="E62" s="39">
        <f t="shared" si="0"/>
        <v>0</v>
      </c>
    </row>
    <row r="63" spans="1:5" ht="15" thickBot="1" x14ac:dyDescent="0.35">
      <c r="A63" s="26" t="s">
        <v>28</v>
      </c>
      <c r="B63" s="27" t="s">
        <v>62</v>
      </c>
      <c r="C63" s="28">
        <v>500</v>
      </c>
      <c r="D63" s="27"/>
      <c r="E63" s="39">
        <f t="shared" si="0"/>
        <v>0</v>
      </c>
    </row>
    <row r="64" spans="1:5" ht="15" thickBot="1" x14ac:dyDescent="0.35">
      <c r="A64" s="26" t="s">
        <v>30</v>
      </c>
      <c r="B64" s="27" t="s">
        <v>63</v>
      </c>
      <c r="C64" s="28">
        <v>700</v>
      </c>
      <c r="D64" s="27"/>
      <c r="E64" s="39">
        <f t="shared" si="0"/>
        <v>0</v>
      </c>
    </row>
    <row r="65" spans="1:13" ht="15" thickBot="1" x14ac:dyDescent="0.35">
      <c r="A65" s="26" t="s">
        <v>32</v>
      </c>
      <c r="B65" s="27" t="s">
        <v>64</v>
      </c>
      <c r="C65" s="28">
        <v>800</v>
      </c>
      <c r="D65" s="27"/>
      <c r="E65" s="39">
        <f t="shared" si="0"/>
        <v>0</v>
      </c>
    </row>
    <row r="66" spans="1:13" ht="15" thickBot="1" x14ac:dyDescent="0.35">
      <c r="A66" s="26" t="s">
        <v>34</v>
      </c>
      <c r="B66" s="27" t="s">
        <v>65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66</v>
      </c>
      <c r="B67" s="27" t="s">
        <v>67</v>
      </c>
      <c r="C67" s="28">
        <v>300</v>
      </c>
      <c r="D67" s="27"/>
      <c r="E67" s="39">
        <f t="shared" si="0"/>
        <v>0</v>
      </c>
    </row>
    <row r="68" spans="1:13" ht="15" thickBot="1" x14ac:dyDescent="0.35">
      <c r="A68" s="26" t="s">
        <v>68</v>
      </c>
      <c r="B68" s="27" t="s">
        <v>69</v>
      </c>
      <c r="C68" s="28">
        <v>600</v>
      </c>
      <c r="D68" s="27"/>
      <c r="E68" s="39">
        <f t="shared" ref="E68:E110" si="1">C68*D68</f>
        <v>0</v>
      </c>
    </row>
    <row r="69" spans="1:13" ht="15" thickBot="1" x14ac:dyDescent="0.35">
      <c r="A69" s="26" t="s">
        <v>70</v>
      </c>
      <c r="B69" s="27" t="s">
        <v>71</v>
      </c>
      <c r="C69" s="28">
        <v>1500</v>
      </c>
      <c r="D69" s="27"/>
      <c r="E69" s="39">
        <f t="shared" si="1"/>
        <v>0</v>
      </c>
    </row>
    <row r="70" spans="1:13" ht="15" thickBot="1" x14ac:dyDescent="0.35">
      <c r="A70" s="26" t="s">
        <v>72</v>
      </c>
      <c r="B70" s="27" t="s">
        <v>73</v>
      </c>
      <c r="C70" s="30">
        <v>1000</v>
      </c>
      <c r="D70" s="27"/>
      <c r="E70" s="39">
        <f t="shared" si="1"/>
        <v>0</v>
      </c>
    </row>
    <row r="71" spans="1:13" ht="15" thickBot="1" x14ac:dyDescent="0.35">
      <c r="A71" s="26" t="s">
        <v>74</v>
      </c>
      <c r="B71" s="27" t="s">
        <v>75</v>
      </c>
      <c r="C71" s="30">
        <v>2000</v>
      </c>
      <c r="D71" s="27"/>
      <c r="E71" s="39">
        <f t="shared" si="1"/>
        <v>0</v>
      </c>
      <c r="M71"/>
    </row>
    <row r="72" spans="1:13" ht="15" thickBot="1" x14ac:dyDescent="0.35">
      <c r="A72" s="11" t="s">
        <v>79</v>
      </c>
      <c r="B72" s="14" t="s">
        <v>84</v>
      </c>
      <c r="C72" s="12">
        <v>400</v>
      </c>
      <c r="D72"/>
      <c r="E72" s="39">
        <f t="shared" si="1"/>
        <v>0</v>
      </c>
      <c r="M72"/>
    </row>
    <row r="73" spans="1:13" ht="15" thickBot="1" x14ac:dyDescent="0.35">
      <c r="A73" s="11" t="s">
        <v>85</v>
      </c>
      <c r="B73" s="14" t="s">
        <v>86</v>
      </c>
      <c r="C73" s="12">
        <v>300</v>
      </c>
      <c r="D73"/>
      <c r="E73" s="39">
        <f t="shared" si="1"/>
        <v>0</v>
      </c>
      <c r="M73"/>
    </row>
    <row r="74" spans="1:13" ht="15" thickBot="1" x14ac:dyDescent="0.35">
      <c r="A74" s="11" t="s">
        <v>87</v>
      </c>
      <c r="B74" s="14" t="s">
        <v>88</v>
      </c>
      <c r="C74" s="12">
        <v>500</v>
      </c>
      <c r="D74"/>
      <c r="E74" s="39">
        <f t="shared" si="1"/>
        <v>0</v>
      </c>
      <c r="M74"/>
    </row>
    <row r="75" spans="1:13" ht="15" thickBot="1" x14ac:dyDescent="0.35">
      <c r="A75" s="11" t="s">
        <v>118</v>
      </c>
      <c r="B75" s="14" t="s">
        <v>119</v>
      </c>
      <c r="C75" s="12">
        <f>2100</f>
        <v>2100</v>
      </c>
      <c r="D75"/>
      <c r="E75" s="39">
        <f t="shared" si="1"/>
        <v>0</v>
      </c>
      <c r="M75"/>
    </row>
    <row r="76" spans="1:13" ht="15" thickBot="1" x14ac:dyDescent="0.35">
      <c r="A76" s="27"/>
      <c r="B76" s="27"/>
      <c r="C76" s="27"/>
      <c r="D76" s="27"/>
      <c r="E76" s="39">
        <f t="shared" si="1"/>
        <v>0</v>
      </c>
      <c r="M76"/>
    </row>
    <row r="77" spans="1:13" ht="15" thickBot="1" x14ac:dyDescent="0.35">
      <c r="A77" s="31">
        <v>7</v>
      </c>
      <c r="B77" s="22" t="s">
        <v>76</v>
      </c>
      <c r="C77" s="23"/>
      <c r="D77" s="23"/>
      <c r="E77" s="39">
        <f t="shared" si="1"/>
        <v>0</v>
      </c>
      <c r="M77"/>
    </row>
    <row r="78" spans="1:13" ht="15" thickBot="1" x14ac:dyDescent="0.35">
      <c r="A78" s="26" t="s">
        <v>6</v>
      </c>
      <c r="B78" s="27" t="s">
        <v>77</v>
      </c>
      <c r="C78" s="27"/>
      <c r="D78" s="27"/>
      <c r="E78" s="39">
        <f t="shared" si="1"/>
        <v>0</v>
      </c>
      <c r="M78"/>
    </row>
    <row r="79" spans="1:13" ht="15" thickBot="1" x14ac:dyDescent="0.35">
      <c r="A79" s="26" t="s">
        <v>8</v>
      </c>
      <c r="B79" s="27" t="s">
        <v>78</v>
      </c>
      <c r="C79" s="28">
        <v>2000</v>
      </c>
      <c r="D79" s="27"/>
      <c r="E79" s="39">
        <f t="shared" si="1"/>
        <v>0</v>
      </c>
      <c r="M79"/>
    </row>
    <row r="80" spans="1:13" ht="15" thickBot="1" x14ac:dyDescent="0.35">
      <c r="E80" s="39">
        <f t="shared" si="1"/>
        <v>0</v>
      </c>
    </row>
    <row r="81" spans="1:5" ht="15" thickBot="1" x14ac:dyDescent="0.35">
      <c r="A81" s="15">
        <v>8</v>
      </c>
      <c r="B81" s="7" t="s">
        <v>96</v>
      </c>
      <c r="C81" s="9"/>
      <c r="D81" s="8"/>
      <c r="E81" s="39">
        <f t="shared" si="1"/>
        <v>0</v>
      </c>
    </row>
    <row r="82" spans="1:5" ht="15" thickBot="1" x14ac:dyDescent="0.35">
      <c r="A82" s="47" t="s">
        <v>6</v>
      </c>
      <c r="B82" s="14" t="s">
        <v>97</v>
      </c>
      <c r="C82">
        <v>100</v>
      </c>
      <c r="E82" s="39">
        <f t="shared" si="1"/>
        <v>0</v>
      </c>
    </row>
    <row r="83" spans="1:5" ht="15" thickBot="1" x14ac:dyDescent="0.35">
      <c r="A83" s="47" t="s">
        <v>8</v>
      </c>
      <c r="B83" s="14" t="s">
        <v>100</v>
      </c>
      <c r="E83" s="39">
        <f t="shared" si="1"/>
        <v>0</v>
      </c>
    </row>
    <row r="84" spans="1:5" ht="15" thickBot="1" x14ac:dyDescent="0.35">
      <c r="A84" s="47" t="s">
        <v>10</v>
      </c>
      <c r="B84" s="14" t="s">
        <v>101</v>
      </c>
      <c r="E84" s="39">
        <f t="shared" si="1"/>
        <v>0</v>
      </c>
    </row>
    <row r="85" spans="1:5" ht="15" thickBot="1" x14ac:dyDescent="0.35">
      <c r="A85" s="47" t="s">
        <v>12</v>
      </c>
      <c r="B85" s="14" t="s">
        <v>102</v>
      </c>
      <c r="E85" s="39">
        <f t="shared" si="1"/>
        <v>0</v>
      </c>
    </row>
    <row r="86" spans="1:5" ht="15" thickBot="1" x14ac:dyDescent="0.35">
      <c r="A86" s="47" t="s">
        <v>14</v>
      </c>
      <c r="B86" s="14" t="s">
        <v>104</v>
      </c>
      <c r="E86" s="39">
        <f t="shared" si="1"/>
        <v>0</v>
      </c>
    </row>
    <row r="87" spans="1:5" ht="15" thickBot="1" x14ac:dyDescent="0.35">
      <c r="A87" s="47" t="s">
        <v>22</v>
      </c>
      <c r="B87" s="14" t="s">
        <v>105</v>
      </c>
      <c r="E87" s="39">
        <f t="shared" si="1"/>
        <v>0</v>
      </c>
    </row>
    <row r="88" spans="1:5" ht="15" thickBot="1" x14ac:dyDescent="0.35">
      <c r="A88" s="47" t="s">
        <v>24</v>
      </c>
      <c r="B88" s="14" t="s">
        <v>106</v>
      </c>
      <c r="E88" s="39">
        <f t="shared" si="1"/>
        <v>0</v>
      </c>
    </row>
    <row r="89" spans="1:5" ht="15" thickBot="1" x14ac:dyDescent="0.35">
      <c r="A89" s="47" t="s">
        <v>26</v>
      </c>
      <c r="B89" s="14" t="s">
        <v>107</v>
      </c>
      <c r="E89" s="39">
        <f t="shared" si="1"/>
        <v>0</v>
      </c>
    </row>
    <row r="90" spans="1:5" ht="15" thickBot="1" x14ac:dyDescent="0.35">
      <c r="A90" s="47" t="s">
        <v>28</v>
      </c>
      <c r="B90" s="14" t="s">
        <v>108</v>
      </c>
      <c r="E90" s="39">
        <f t="shared" si="1"/>
        <v>0</v>
      </c>
    </row>
    <row r="91" spans="1:5" ht="15" thickBot="1" x14ac:dyDescent="0.35">
      <c r="A91" s="47" t="s">
        <v>30</v>
      </c>
      <c r="B91" s="14" t="s">
        <v>109</v>
      </c>
      <c r="E91" s="39">
        <f t="shared" si="1"/>
        <v>0</v>
      </c>
    </row>
    <row r="92" spans="1:5" ht="15" thickBot="1" x14ac:dyDescent="0.35">
      <c r="A92" s="47" t="s">
        <v>32</v>
      </c>
      <c r="B92" s="14" t="s">
        <v>110</v>
      </c>
      <c r="E92" s="39">
        <f t="shared" si="1"/>
        <v>0</v>
      </c>
    </row>
    <row r="93" spans="1:5" ht="15" thickBot="1" x14ac:dyDescent="0.35">
      <c r="A93" s="47" t="s">
        <v>34</v>
      </c>
      <c r="B93" s="14" t="s">
        <v>111</v>
      </c>
      <c r="E93" s="39">
        <f t="shared" si="1"/>
        <v>0</v>
      </c>
    </row>
    <row r="94" spans="1:5" ht="15" thickBot="1" x14ac:dyDescent="0.35">
      <c r="A94" s="47" t="s">
        <v>66</v>
      </c>
      <c r="B94" s="14" t="s">
        <v>112</v>
      </c>
      <c r="E94" s="39">
        <f t="shared" si="1"/>
        <v>0</v>
      </c>
    </row>
    <row r="95" spans="1:5" ht="15" thickBot="1" x14ac:dyDescent="0.35">
      <c r="A95" s="47" t="s">
        <v>68</v>
      </c>
      <c r="B95" s="14" t="s">
        <v>113</v>
      </c>
      <c r="E95" s="39">
        <f t="shared" si="1"/>
        <v>0</v>
      </c>
    </row>
    <row r="96" spans="1:5" ht="15" thickBot="1" x14ac:dyDescent="0.35">
      <c r="A96" s="47" t="s">
        <v>70</v>
      </c>
      <c r="B96" s="14" t="s">
        <v>114</v>
      </c>
      <c r="E96" s="39">
        <f t="shared" si="1"/>
        <v>0</v>
      </c>
    </row>
    <row r="97" spans="1:5" ht="15" thickBot="1" x14ac:dyDescent="0.35">
      <c r="A97" s="47" t="s">
        <v>72</v>
      </c>
      <c r="B97" s="14" t="s">
        <v>115</v>
      </c>
      <c r="E97" s="39">
        <f t="shared" si="1"/>
        <v>0</v>
      </c>
    </row>
    <row r="98" spans="1:5" ht="15" thickBot="1" x14ac:dyDescent="0.35">
      <c r="A98" s="47" t="s">
        <v>74</v>
      </c>
      <c r="B98" s="14" t="s">
        <v>116</v>
      </c>
      <c r="E98" s="39">
        <f t="shared" si="1"/>
        <v>0</v>
      </c>
    </row>
    <row r="99" spans="1:5" ht="15" thickBot="1" x14ac:dyDescent="0.35">
      <c r="A99" s="47" t="s">
        <v>79</v>
      </c>
      <c r="B99" s="14" t="s">
        <v>120</v>
      </c>
      <c r="E99" s="39">
        <f t="shared" si="1"/>
        <v>0</v>
      </c>
    </row>
    <row r="100" spans="1:5" ht="15" thickBot="1" x14ac:dyDescent="0.35">
      <c r="A100" s="47" t="s">
        <v>85</v>
      </c>
      <c r="B100" s="14" t="s">
        <v>121</v>
      </c>
      <c r="E100" s="39">
        <f t="shared" si="1"/>
        <v>0</v>
      </c>
    </row>
    <row r="101" spans="1:5" ht="15" thickBot="1" x14ac:dyDescent="0.35">
      <c r="A101" s="47" t="s">
        <v>87</v>
      </c>
      <c r="B101" s="14" t="s">
        <v>122</v>
      </c>
      <c r="E101" s="39">
        <f t="shared" si="1"/>
        <v>0</v>
      </c>
    </row>
    <row r="102" spans="1:5" ht="15" thickBot="1" x14ac:dyDescent="0.35">
      <c r="A102" s="47" t="s">
        <v>118</v>
      </c>
      <c r="B102" s="14" t="s">
        <v>123</v>
      </c>
      <c r="E102" s="39">
        <f t="shared" si="1"/>
        <v>0</v>
      </c>
    </row>
    <row r="103" spans="1:5" ht="15" thickBot="1" x14ac:dyDescent="0.35">
      <c r="A103" s="47" t="s">
        <v>130</v>
      </c>
      <c r="B103" s="14" t="s">
        <v>124</v>
      </c>
      <c r="E103" s="39">
        <f t="shared" si="1"/>
        <v>0</v>
      </c>
    </row>
    <row r="104" spans="1:5" ht="15" thickBot="1" x14ac:dyDescent="0.35">
      <c r="A104" s="47" t="s">
        <v>131</v>
      </c>
      <c r="B104" s="14" t="s">
        <v>125</v>
      </c>
      <c r="E104" s="39">
        <f t="shared" si="1"/>
        <v>0</v>
      </c>
    </row>
    <row r="105" spans="1:5" ht="15" thickBot="1" x14ac:dyDescent="0.35">
      <c r="A105" s="47" t="s">
        <v>132</v>
      </c>
      <c r="B105" s="14" t="s">
        <v>126</v>
      </c>
      <c r="E105" s="39">
        <f t="shared" si="1"/>
        <v>0</v>
      </c>
    </row>
    <row r="106" spans="1:5" ht="15" thickBot="1" x14ac:dyDescent="0.35">
      <c r="A106" s="47" t="s">
        <v>133</v>
      </c>
      <c r="B106" s="14" t="s">
        <v>127</v>
      </c>
      <c r="E106" s="39">
        <f t="shared" si="1"/>
        <v>0</v>
      </c>
    </row>
    <row r="107" spans="1:5" ht="15" thickBot="1" x14ac:dyDescent="0.35">
      <c r="A107" s="47" t="s">
        <v>134</v>
      </c>
      <c r="B107" s="14" t="s">
        <v>128</v>
      </c>
      <c r="E107" s="39">
        <f t="shared" si="1"/>
        <v>0</v>
      </c>
    </row>
    <row r="108" spans="1:5" ht="15" thickBot="1" x14ac:dyDescent="0.35">
      <c r="A108" s="47" t="s">
        <v>135</v>
      </c>
      <c r="B108" s="14" t="s">
        <v>129</v>
      </c>
      <c r="E108" s="39">
        <f t="shared" si="1"/>
        <v>0</v>
      </c>
    </row>
    <row r="109" spans="1:5" ht="15" thickBot="1" x14ac:dyDescent="0.35">
      <c r="A109" s="47"/>
      <c r="B109" s="14"/>
      <c r="E109" s="39">
        <f t="shared" si="1"/>
        <v>0</v>
      </c>
    </row>
    <row r="110" spans="1:5" ht="15" thickBot="1" x14ac:dyDescent="0.35">
      <c r="E110" s="39">
        <f t="shared" si="1"/>
        <v>0</v>
      </c>
    </row>
    <row r="111" spans="1:5" x14ac:dyDescent="0.3">
      <c r="B111" t="s">
        <v>80</v>
      </c>
      <c r="E111" s="13">
        <f>SUM(E3:E110)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13"/>
  <sheetViews>
    <sheetView topLeftCell="A90" zoomScale="80" zoomScaleNormal="55" workbookViewId="0">
      <selection activeCell="C122" sqref="C12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6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117</v>
      </c>
      <c r="C8" s="12">
        <f>6100/12</f>
        <v>508.33333333333331</v>
      </c>
      <c r="D8"/>
      <c r="E8" s="13">
        <f t="shared" si="0"/>
        <v>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3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 t="shared" si="0"/>
        <v>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 t="shared" si="0"/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</row>
    <row r="20" spans="1:10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</row>
    <row r="21" spans="1:10" x14ac:dyDescent="0.3">
      <c r="A21" s="11" t="s">
        <v>32</v>
      </c>
      <c r="B21" t="s">
        <v>33</v>
      </c>
      <c r="C21" s="12">
        <v>150</v>
      </c>
      <c r="D21"/>
      <c r="E21" s="13">
        <f t="shared" si="0"/>
        <v>0</v>
      </c>
    </row>
    <row r="22" spans="1:10" x14ac:dyDescent="0.3">
      <c r="A22" s="11" t="s">
        <v>34</v>
      </c>
      <c r="B22" t="s">
        <v>35</v>
      </c>
      <c r="C22" s="12">
        <v>400</v>
      </c>
      <c r="D22"/>
      <c r="E22" s="13">
        <f t="shared" si="0"/>
        <v>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400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3">
        <f t="shared" si="0"/>
        <v>0</v>
      </c>
    </row>
    <row r="29" spans="1:10" x14ac:dyDescent="0.3">
      <c r="A29" s="11" t="s">
        <v>6</v>
      </c>
      <c r="B29" t="s">
        <v>37</v>
      </c>
      <c r="C29" s="12">
        <v>200</v>
      </c>
      <c r="D29">
        <v>150</v>
      </c>
      <c r="E29" s="13">
        <f t="shared" si="0"/>
        <v>30000</v>
      </c>
    </row>
    <row r="30" spans="1:10" x14ac:dyDescent="0.3">
      <c r="A30" s="11" t="s">
        <v>8</v>
      </c>
      <c r="B30" t="s">
        <v>38</v>
      </c>
      <c r="C30" s="12">
        <v>23000</v>
      </c>
      <c r="D30">
        <v>1</v>
      </c>
      <c r="E30" s="13">
        <f t="shared" si="0"/>
        <v>23000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/>
      <c r="D33"/>
      <c r="E33" s="13">
        <f t="shared" si="0"/>
        <v>0</v>
      </c>
    </row>
    <row r="34" spans="1:10" x14ac:dyDescent="0.3">
      <c r="A34" s="11" t="s">
        <v>22</v>
      </c>
      <c r="B34" t="s">
        <v>103</v>
      </c>
      <c r="C34" s="12">
        <v>5200</v>
      </c>
      <c r="D34">
        <v>1</v>
      </c>
      <c r="E34" s="13">
        <f t="shared" si="0"/>
        <v>5200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13750</v>
      </c>
      <c r="D38">
        <v>1</v>
      </c>
      <c r="E38" s="13">
        <f t="shared" si="0"/>
        <v>13750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98</v>
      </c>
      <c r="C40" s="12"/>
      <c r="D40"/>
      <c r="E40" s="13">
        <f t="shared" si="0"/>
        <v>0</v>
      </c>
    </row>
    <row r="41" spans="1:10" x14ac:dyDescent="0.3">
      <c r="A41" s="11" t="s">
        <v>66</v>
      </c>
      <c r="B41" t="s">
        <v>99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3">
        <f t="shared" si="0"/>
        <v>0</v>
      </c>
    </row>
    <row r="44" spans="1:10" x14ac:dyDescent="0.3">
      <c r="A44" s="11" t="s">
        <v>6</v>
      </c>
      <c r="B44" t="s">
        <v>45</v>
      </c>
      <c r="C44" s="12">
        <v>1000</v>
      </c>
      <c r="D44"/>
      <c r="E44" s="13">
        <f t="shared" si="0"/>
        <v>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 t="shared" si="0"/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 t="shared" si="0"/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si="0"/>
        <v>0</v>
      </c>
    </row>
    <row r="49" spans="1:5" x14ac:dyDescent="0.3">
      <c r="C49" s="12"/>
      <c r="D49"/>
      <c r="E49" s="13">
        <f t="shared" si="0"/>
        <v>0</v>
      </c>
    </row>
    <row r="50" spans="1:5" x14ac:dyDescent="0.3">
      <c r="A50" s="6">
        <v>5</v>
      </c>
      <c r="B50" s="7" t="s">
        <v>50</v>
      </c>
      <c r="C50" s="9"/>
      <c r="D50" s="8"/>
      <c r="E50" s="13">
        <f t="shared" si="0"/>
        <v>0</v>
      </c>
    </row>
    <row r="51" spans="1:5" x14ac:dyDescent="0.3">
      <c r="A51" s="11" t="s">
        <v>6</v>
      </c>
      <c r="B51" t="s">
        <v>51</v>
      </c>
      <c r="C51" s="12">
        <v>550</v>
      </c>
      <c r="D51"/>
      <c r="E51" s="13">
        <f t="shared" si="0"/>
        <v>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0"/>
        <v>0</v>
      </c>
    </row>
    <row r="53" spans="1:5" x14ac:dyDescent="0.3">
      <c r="A53" s="11"/>
      <c r="C53" s="12"/>
      <c r="D53"/>
      <c r="E53" s="13">
        <f t="shared" si="0"/>
        <v>0</v>
      </c>
    </row>
    <row r="54" spans="1:5" x14ac:dyDescent="0.3">
      <c r="A54" s="6">
        <v>6</v>
      </c>
      <c r="B54" s="7" t="s">
        <v>53</v>
      </c>
      <c r="C54" s="9"/>
      <c r="D54" s="8"/>
      <c r="E54" s="13">
        <f t="shared" si="0"/>
        <v>0</v>
      </c>
    </row>
    <row r="55" spans="1:5" x14ac:dyDescent="0.3">
      <c r="A55" s="11" t="s">
        <v>6</v>
      </c>
      <c r="B55" s="14" t="s">
        <v>54</v>
      </c>
      <c r="C55" s="12">
        <v>3900</v>
      </c>
      <c r="D55"/>
      <c r="E55" s="13">
        <f t="shared" si="0"/>
        <v>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0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0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0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0"/>
        <v>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0"/>
        <v>0</v>
      </c>
    </row>
    <row r="61" spans="1:5" x14ac:dyDescent="0.3">
      <c r="A61" s="11" t="s">
        <v>24</v>
      </c>
      <c r="B61" s="14" t="s">
        <v>60</v>
      </c>
      <c r="C61" s="12">
        <v>1000</v>
      </c>
      <c r="D61"/>
      <c r="E61" s="13">
        <f t="shared" si="0"/>
        <v>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0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0"/>
        <v>0</v>
      </c>
    </row>
    <row r="64" spans="1:5" x14ac:dyDescent="0.3">
      <c r="A64" s="11" t="s">
        <v>30</v>
      </c>
      <c r="B64" s="14" t="s">
        <v>63</v>
      </c>
      <c r="C64" s="12">
        <v>700</v>
      </c>
      <c r="D64"/>
      <c r="E64" s="13">
        <f t="shared" si="0"/>
        <v>0</v>
      </c>
    </row>
    <row r="65" spans="1:13" x14ac:dyDescent="0.3">
      <c r="A65" s="11" t="s">
        <v>32</v>
      </c>
      <c r="B65" s="14" t="s">
        <v>64</v>
      </c>
      <c r="C65" s="12">
        <v>800</v>
      </c>
      <c r="D65"/>
      <c r="E65" s="13">
        <f t="shared" si="0"/>
        <v>0</v>
      </c>
    </row>
    <row r="66" spans="1:13" x14ac:dyDescent="0.3">
      <c r="A66" s="11" t="s">
        <v>34</v>
      </c>
      <c r="B66" s="14" t="s">
        <v>65</v>
      </c>
      <c r="C66" s="12">
        <v>300</v>
      </c>
      <c r="D66"/>
      <c r="E66" s="13">
        <f t="shared" si="0"/>
        <v>0</v>
      </c>
    </row>
    <row r="67" spans="1:13" x14ac:dyDescent="0.3">
      <c r="A67" s="11" t="s">
        <v>66</v>
      </c>
      <c r="B67" s="14" t="s">
        <v>67</v>
      </c>
      <c r="C67" s="12">
        <v>300</v>
      </c>
      <c r="D67"/>
      <c r="E67" s="13">
        <f t="shared" ref="E67:E112" si="1">D67*C67</f>
        <v>0</v>
      </c>
    </row>
    <row r="68" spans="1:13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13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</row>
    <row r="70" spans="1:13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13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13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  <c r="M72"/>
    </row>
    <row r="73" spans="1:13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  <c r="M73"/>
    </row>
    <row r="74" spans="1:13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  <c r="M74"/>
    </row>
    <row r="75" spans="1:13" x14ac:dyDescent="0.3">
      <c r="A75" s="11" t="s">
        <v>118</v>
      </c>
      <c r="B75" s="14" t="s">
        <v>119</v>
      </c>
      <c r="C75" s="12">
        <f>2100</f>
        <v>2100</v>
      </c>
      <c r="D75"/>
      <c r="E75" s="13">
        <f t="shared" si="1"/>
        <v>0</v>
      </c>
      <c r="M75"/>
    </row>
    <row r="76" spans="1:13" x14ac:dyDescent="0.3">
      <c r="C76" s="12"/>
      <c r="D76"/>
      <c r="E76" s="13">
        <f t="shared" si="1"/>
        <v>0</v>
      </c>
      <c r="M76"/>
    </row>
    <row r="77" spans="1:13" x14ac:dyDescent="0.3">
      <c r="A77" s="15">
        <v>7</v>
      </c>
      <c r="B77" s="7" t="s">
        <v>76</v>
      </c>
      <c r="C77" s="9"/>
      <c r="D77" s="8"/>
      <c r="E77" s="13">
        <f t="shared" si="1"/>
        <v>0</v>
      </c>
      <c r="M77"/>
    </row>
    <row r="78" spans="1:13" x14ac:dyDescent="0.3">
      <c r="A78" s="11" t="s">
        <v>6</v>
      </c>
      <c r="B78" s="14" t="s">
        <v>77</v>
      </c>
      <c r="C78" s="12"/>
      <c r="D78"/>
      <c r="E78" s="13">
        <f t="shared" si="1"/>
        <v>0</v>
      </c>
      <c r="M78"/>
    </row>
    <row r="79" spans="1:13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  <c r="M79"/>
    </row>
    <row r="80" spans="1:13" x14ac:dyDescent="0.3">
      <c r="E80" s="13">
        <f t="shared" si="1"/>
        <v>0</v>
      </c>
    </row>
    <row r="81" spans="1:15" x14ac:dyDescent="0.3">
      <c r="A81" s="15">
        <v>8</v>
      </c>
      <c r="B81" s="7" t="s">
        <v>96</v>
      </c>
      <c r="C81" s="9"/>
      <c r="D81" s="8"/>
      <c r="E81" s="13">
        <f t="shared" si="1"/>
        <v>0</v>
      </c>
    </row>
    <row r="82" spans="1:15" x14ac:dyDescent="0.3">
      <c r="A82" s="47" t="s">
        <v>6</v>
      </c>
      <c r="B82" s="14" t="s">
        <v>97</v>
      </c>
      <c r="E82" s="13">
        <f t="shared" si="1"/>
        <v>0</v>
      </c>
    </row>
    <row r="83" spans="1:15" x14ac:dyDescent="0.3">
      <c r="A83" s="47" t="s">
        <v>8</v>
      </c>
      <c r="B83" s="14" t="s">
        <v>100</v>
      </c>
      <c r="E83" s="13">
        <f t="shared" si="1"/>
        <v>0</v>
      </c>
    </row>
    <row r="84" spans="1:15" x14ac:dyDescent="0.3">
      <c r="A84" s="47" t="s">
        <v>10</v>
      </c>
      <c r="B84" s="14" t="s">
        <v>101</v>
      </c>
      <c r="E84" s="13">
        <f t="shared" si="1"/>
        <v>0</v>
      </c>
    </row>
    <row r="85" spans="1:15" x14ac:dyDescent="0.3">
      <c r="A85" s="47" t="s">
        <v>12</v>
      </c>
      <c r="B85" s="14" t="s">
        <v>102</v>
      </c>
      <c r="C85">
        <v>3000</v>
      </c>
      <c r="D85" s="12">
        <v>1</v>
      </c>
      <c r="E85" s="13">
        <f t="shared" si="1"/>
        <v>3000</v>
      </c>
    </row>
    <row r="86" spans="1:15" x14ac:dyDescent="0.3">
      <c r="A86" s="47" t="s">
        <v>14</v>
      </c>
      <c r="B86" s="14" t="s">
        <v>104</v>
      </c>
      <c r="C86">
        <v>1500</v>
      </c>
      <c r="D86" s="12">
        <v>1</v>
      </c>
      <c r="E86" s="13">
        <f t="shared" si="1"/>
        <v>1500</v>
      </c>
      <c r="M86" s="14"/>
      <c r="O86" s="50"/>
    </row>
    <row r="87" spans="1:15" x14ac:dyDescent="0.3">
      <c r="A87" s="47" t="s">
        <v>22</v>
      </c>
      <c r="B87" s="14" t="s">
        <v>105</v>
      </c>
      <c r="C87">
        <v>1200</v>
      </c>
      <c r="D87" s="12">
        <v>1</v>
      </c>
      <c r="E87" s="13">
        <f t="shared" si="1"/>
        <v>1200</v>
      </c>
      <c r="M87" s="14"/>
      <c r="O87" s="50"/>
    </row>
    <row r="88" spans="1:15" x14ac:dyDescent="0.3">
      <c r="A88" s="47" t="s">
        <v>24</v>
      </c>
      <c r="B88" s="14" t="s">
        <v>106</v>
      </c>
      <c r="C88">
        <v>2300</v>
      </c>
      <c r="D88" s="12">
        <v>1</v>
      </c>
      <c r="E88" s="13">
        <f t="shared" si="1"/>
        <v>2300</v>
      </c>
      <c r="M88" s="14"/>
      <c r="O88" s="50"/>
    </row>
    <row r="89" spans="1:15" x14ac:dyDescent="0.3">
      <c r="A89" s="47" t="s">
        <v>26</v>
      </c>
      <c r="B89" s="14" t="s">
        <v>107</v>
      </c>
      <c r="C89">
        <v>1100</v>
      </c>
      <c r="D89" s="12">
        <v>1</v>
      </c>
      <c r="E89" s="13">
        <f t="shared" si="1"/>
        <v>1100</v>
      </c>
      <c r="M89" s="14"/>
      <c r="O89" s="50"/>
    </row>
    <row r="90" spans="1:15" x14ac:dyDescent="0.3">
      <c r="A90" s="47" t="s">
        <v>28</v>
      </c>
      <c r="B90" s="14" t="s">
        <v>108</v>
      </c>
      <c r="C90">
        <v>300</v>
      </c>
      <c r="D90" s="12">
        <v>1</v>
      </c>
      <c r="E90" s="13">
        <f t="shared" si="1"/>
        <v>300</v>
      </c>
      <c r="M90" s="14"/>
      <c r="O90" s="50"/>
    </row>
    <row r="91" spans="1:15" x14ac:dyDescent="0.3">
      <c r="A91" s="47" t="s">
        <v>30</v>
      </c>
      <c r="B91" s="14" t="s">
        <v>109</v>
      </c>
      <c r="C91">
        <v>200</v>
      </c>
      <c r="D91" s="12">
        <v>1</v>
      </c>
      <c r="E91" s="13">
        <f t="shared" si="1"/>
        <v>200</v>
      </c>
      <c r="M91" s="14"/>
      <c r="O91" s="50"/>
    </row>
    <row r="92" spans="1:15" x14ac:dyDescent="0.3">
      <c r="A92" s="47" t="s">
        <v>32</v>
      </c>
      <c r="B92" s="14" t="s">
        <v>110</v>
      </c>
      <c r="C92">
        <v>1000</v>
      </c>
      <c r="D92" s="12">
        <v>1</v>
      </c>
      <c r="E92" s="13">
        <f t="shared" si="1"/>
        <v>1000</v>
      </c>
      <c r="M92" s="14"/>
      <c r="O92" s="50"/>
    </row>
    <row r="93" spans="1:15" x14ac:dyDescent="0.3">
      <c r="A93" s="47" t="s">
        <v>34</v>
      </c>
      <c r="B93" s="14" t="s">
        <v>111</v>
      </c>
      <c r="C93">
        <v>300</v>
      </c>
      <c r="D93" s="12">
        <v>1</v>
      </c>
      <c r="E93" s="13">
        <f t="shared" si="1"/>
        <v>300</v>
      </c>
      <c r="M93" s="14"/>
      <c r="O93" s="50"/>
    </row>
    <row r="94" spans="1:15" x14ac:dyDescent="0.3">
      <c r="A94" s="47" t="s">
        <v>66</v>
      </c>
      <c r="B94" s="14" t="s">
        <v>112</v>
      </c>
      <c r="C94">
        <v>600</v>
      </c>
      <c r="D94" s="12">
        <v>1</v>
      </c>
      <c r="E94" s="13">
        <f t="shared" si="1"/>
        <v>600</v>
      </c>
      <c r="M94" s="14"/>
      <c r="O94" s="50"/>
    </row>
    <row r="95" spans="1:15" x14ac:dyDescent="0.3">
      <c r="A95" s="47" t="s">
        <v>68</v>
      </c>
      <c r="B95" s="14" t="s">
        <v>113</v>
      </c>
      <c r="C95">
        <v>1000</v>
      </c>
      <c r="D95" s="12">
        <v>1</v>
      </c>
      <c r="E95" s="13">
        <f t="shared" si="1"/>
        <v>1000</v>
      </c>
      <c r="M95" s="14"/>
      <c r="O95" s="50"/>
    </row>
    <row r="96" spans="1:15" x14ac:dyDescent="0.3">
      <c r="A96" s="47" t="s">
        <v>70</v>
      </c>
      <c r="B96" s="14" t="s">
        <v>114</v>
      </c>
      <c r="C96">
        <v>1500</v>
      </c>
      <c r="D96" s="12">
        <v>1</v>
      </c>
      <c r="E96" s="13">
        <f t="shared" si="1"/>
        <v>1500</v>
      </c>
      <c r="M96" s="14"/>
      <c r="O96" s="50"/>
    </row>
    <row r="97" spans="1:15" x14ac:dyDescent="0.3">
      <c r="A97" s="47" t="s">
        <v>72</v>
      </c>
      <c r="B97" s="14" t="s">
        <v>115</v>
      </c>
      <c r="C97">
        <v>2400</v>
      </c>
      <c r="D97" s="12">
        <v>1</v>
      </c>
      <c r="E97" s="13">
        <f t="shared" si="1"/>
        <v>2400</v>
      </c>
      <c r="M97" s="14"/>
      <c r="O97" s="50"/>
    </row>
    <row r="98" spans="1:15" x14ac:dyDescent="0.3">
      <c r="A98" s="47" t="s">
        <v>74</v>
      </c>
      <c r="B98" s="14" t="s">
        <v>116</v>
      </c>
      <c r="E98" s="13">
        <f t="shared" si="1"/>
        <v>0</v>
      </c>
      <c r="M98" s="14"/>
      <c r="O98" s="50"/>
    </row>
    <row r="99" spans="1:15" x14ac:dyDescent="0.3">
      <c r="A99" s="47" t="s">
        <v>79</v>
      </c>
      <c r="B99" s="14" t="s">
        <v>120</v>
      </c>
      <c r="E99" s="13">
        <f t="shared" si="1"/>
        <v>0</v>
      </c>
      <c r="M99" s="14"/>
      <c r="O99" s="50"/>
    </row>
    <row r="100" spans="1:15" x14ac:dyDescent="0.3">
      <c r="A100" s="47" t="s">
        <v>85</v>
      </c>
      <c r="B100" s="14" t="s">
        <v>121</v>
      </c>
      <c r="E100" s="13">
        <f t="shared" si="1"/>
        <v>0</v>
      </c>
    </row>
    <row r="101" spans="1:15" x14ac:dyDescent="0.3">
      <c r="A101" s="47" t="s">
        <v>87</v>
      </c>
      <c r="B101" s="14" t="s">
        <v>122</v>
      </c>
      <c r="E101" s="13">
        <f t="shared" si="1"/>
        <v>0</v>
      </c>
    </row>
    <row r="102" spans="1:15" x14ac:dyDescent="0.3">
      <c r="A102" s="47" t="s">
        <v>118</v>
      </c>
      <c r="B102" s="14" t="s">
        <v>123</v>
      </c>
      <c r="E102" s="13">
        <f t="shared" si="1"/>
        <v>0</v>
      </c>
    </row>
    <row r="103" spans="1:15" x14ac:dyDescent="0.3">
      <c r="A103" s="47" t="s">
        <v>130</v>
      </c>
      <c r="B103" s="14" t="s">
        <v>124</v>
      </c>
      <c r="E103" s="13">
        <f t="shared" si="1"/>
        <v>0</v>
      </c>
    </row>
    <row r="104" spans="1:15" x14ac:dyDescent="0.3">
      <c r="A104" s="47" t="s">
        <v>131</v>
      </c>
      <c r="B104" s="14" t="s">
        <v>125</v>
      </c>
      <c r="E104" s="13">
        <f t="shared" si="1"/>
        <v>0</v>
      </c>
    </row>
    <row r="105" spans="1:15" x14ac:dyDescent="0.3">
      <c r="A105" s="47" t="s">
        <v>132</v>
      </c>
      <c r="B105" s="14" t="s">
        <v>126</v>
      </c>
      <c r="E105" s="13">
        <f t="shared" si="1"/>
        <v>0</v>
      </c>
    </row>
    <row r="106" spans="1:15" x14ac:dyDescent="0.3">
      <c r="A106" s="47" t="s">
        <v>133</v>
      </c>
      <c r="B106" s="14" t="s">
        <v>127</v>
      </c>
      <c r="E106" s="13">
        <f t="shared" si="1"/>
        <v>0</v>
      </c>
    </row>
    <row r="107" spans="1:15" x14ac:dyDescent="0.3">
      <c r="A107" s="47" t="s">
        <v>134</v>
      </c>
      <c r="B107" s="14" t="s">
        <v>128</v>
      </c>
      <c r="E107" s="13">
        <f t="shared" si="1"/>
        <v>0</v>
      </c>
    </row>
    <row r="108" spans="1:15" x14ac:dyDescent="0.3">
      <c r="A108" s="47" t="s">
        <v>135</v>
      </c>
      <c r="B108" s="14" t="s">
        <v>129</v>
      </c>
      <c r="E108" s="13">
        <f t="shared" si="1"/>
        <v>0</v>
      </c>
    </row>
    <row r="109" spans="1:15" x14ac:dyDescent="0.3">
      <c r="A109" s="47"/>
      <c r="B109" s="14"/>
      <c r="E109" s="13">
        <f t="shared" si="1"/>
        <v>0</v>
      </c>
    </row>
    <row r="110" spans="1:15" x14ac:dyDescent="0.3">
      <c r="A110" s="47"/>
      <c r="B110" s="14"/>
      <c r="E110" s="13">
        <f t="shared" si="1"/>
        <v>0</v>
      </c>
    </row>
    <row r="111" spans="1:15" x14ac:dyDescent="0.3">
      <c r="A111" s="47"/>
      <c r="B111" s="14"/>
      <c r="E111" s="13">
        <f t="shared" si="1"/>
        <v>0</v>
      </c>
    </row>
    <row r="112" spans="1:15" x14ac:dyDescent="0.3">
      <c r="E112" s="13">
        <f t="shared" si="1"/>
        <v>0</v>
      </c>
    </row>
    <row r="113" spans="2:13" x14ac:dyDescent="0.3">
      <c r="B113" t="s">
        <v>80</v>
      </c>
      <c r="E113" s="13">
        <f>SUM(E3:E112)</f>
        <v>88350</v>
      </c>
      <c r="M1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13"/>
  <sheetViews>
    <sheetView topLeftCell="A94" workbookViewId="0">
      <selection activeCell="C119" sqref="C11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6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117</v>
      </c>
      <c r="C8" s="12">
        <f>6100/12</f>
        <v>508.33333333333331</v>
      </c>
      <c r="D8"/>
      <c r="E8" s="13">
        <f t="shared" si="0"/>
        <v>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3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 t="shared" si="0"/>
        <v>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 t="shared" si="0"/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</row>
    <row r="20" spans="1:10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</row>
    <row r="21" spans="1:10" x14ac:dyDescent="0.3">
      <c r="A21" s="11" t="s">
        <v>32</v>
      </c>
      <c r="B21" t="s">
        <v>33</v>
      </c>
      <c r="C21" s="12">
        <v>150</v>
      </c>
      <c r="D21"/>
      <c r="E21" s="13">
        <f t="shared" si="0"/>
        <v>0</v>
      </c>
    </row>
    <row r="22" spans="1:10" x14ac:dyDescent="0.3">
      <c r="A22" s="11" t="s">
        <v>34</v>
      </c>
      <c r="B22" t="s">
        <v>35</v>
      </c>
      <c r="C22" s="12">
        <v>400</v>
      </c>
      <c r="D22"/>
      <c r="E22" s="13">
        <f t="shared" si="0"/>
        <v>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3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</row>
    <row r="30" spans="1:10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98</v>
      </c>
      <c r="C40" s="12"/>
      <c r="D40"/>
      <c r="E40" s="13">
        <f t="shared" si="0"/>
        <v>0</v>
      </c>
    </row>
    <row r="41" spans="1:10" x14ac:dyDescent="0.3">
      <c r="A41" s="11" t="s">
        <v>66</v>
      </c>
      <c r="B41" t="s">
        <v>99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3">
        <f t="shared" si="0"/>
        <v>0</v>
      </c>
    </row>
    <row r="44" spans="1:10" x14ac:dyDescent="0.3">
      <c r="A44" s="11" t="s">
        <v>6</v>
      </c>
      <c r="B44" t="s">
        <v>45</v>
      </c>
      <c r="C44" s="12">
        <v>1000</v>
      </c>
      <c r="D44"/>
      <c r="E44" s="13">
        <f t="shared" si="0"/>
        <v>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 t="shared" si="0"/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 t="shared" si="0"/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si="0"/>
        <v>0</v>
      </c>
    </row>
    <row r="49" spans="1:5" x14ac:dyDescent="0.3">
      <c r="C49" s="12"/>
      <c r="D49"/>
      <c r="E49" s="13">
        <f t="shared" si="0"/>
        <v>0</v>
      </c>
    </row>
    <row r="50" spans="1:5" x14ac:dyDescent="0.3">
      <c r="A50" s="6">
        <v>5</v>
      </c>
      <c r="B50" s="7" t="s">
        <v>50</v>
      </c>
      <c r="C50" s="9"/>
      <c r="D50" s="8"/>
      <c r="E50" s="13">
        <f t="shared" si="0"/>
        <v>0</v>
      </c>
    </row>
    <row r="51" spans="1:5" x14ac:dyDescent="0.3">
      <c r="A51" s="11" t="s">
        <v>6</v>
      </c>
      <c r="B51" t="s">
        <v>51</v>
      </c>
      <c r="C51" s="12">
        <v>100</v>
      </c>
      <c r="D51"/>
      <c r="E51" s="13">
        <f t="shared" si="0"/>
        <v>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0"/>
        <v>0</v>
      </c>
    </row>
    <row r="53" spans="1:5" x14ac:dyDescent="0.3">
      <c r="A53" s="11"/>
      <c r="C53" s="12"/>
      <c r="D53"/>
      <c r="E53" s="13">
        <f t="shared" si="0"/>
        <v>0</v>
      </c>
    </row>
    <row r="54" spans="1:5" x14ac:dyDescent="0.3">
      <c r="A54" s="6">
        <v>6</v>
      </c>
      <c r="B54" s="7" t="s">
        <v>53</v>
      </c>
      <c r="C54" s="9"/>
      <c r="D54" s="8"/>
      <c r="E54" s="13">
        <f t="shared" si="0"/>
        <v>0</v>
      </c>
    </row>
    <row r="55" spans="1:5" x14ac:dyDescent="0.3">
      <c r="A55" s="11" t="s">
        <v>6</v>
      </c>
      <c r="B55" s="14" t="s">
        <v>54</v>
      </c>
      <c r="C55" s="12">
        <v>5500</v>
      </c>
      <c r="D55">
        <v>1</v>
      </c>
      <c r="E55" s="13">
        <f t="shared" si="0"/>
        <v>5500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0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0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0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0"/>
        <v>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0"/>
        <v>0</v>
      </c>
    </row>
    <row r="61" spans="1:5" x14ac:dyDescent="0.3">
      <c r="A61" s="11" t="s">
        <v>24</v>
      </c>
      <c r="B61" s="14" t="s">
        <v>60</v>
      </c>
      <c r="C61" s="12">
        <v>1300</v>
      </c>
      <c r="D61"/>
      <c r="E61" s="13">
        <f t="shared" si="0"/>
        <v>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0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0"/>
        <v>0</v>
      </c>
    </row>
    <row r="64" spans="1:5" x14ac:dyDescent="0.3">
      <c r="A64" s="11" t="s">
        <v>30</v>
      </c>
      <c r="B64" s="14" t="s">
        <v>63</v>
      </c>
      <c r="C64" s="12">
        <v>700</v>
      </c>
      <c r="D64"/>
      <c r="E64" s="13">
        <f t="shared" si="0"/>
        <v>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0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0"/>
        <v>0</v>
      </c>
    </row>
    <row r="67" spans="1:5" x14ac:dyDescent="0.3">
      <c r="A67" s="11" t="s">
        <v>66</v>
      </c>
      <c r="B67" s="14" t="s">
        <v>67</v>
      </c>
      <c r="C67" s="12">
        <v>300</v>
      </c>
      <c r="D67"/>
      <c r="E67" s="13">
        <f t="shared" ref="E67:E112" si="1">D67*C67</f>
        <v>0</v>
      </c>
    </row>
    <row r="68" spans="1:5" x14ac:dyDescent="0.3">
      <c r="A68" s="11" t="s">
        <v>68</v>
      </c>
      <c r="B68" s="14" t="s">
        <v>69</v>
      </c>
      <c r="C68" s="12">
        <v>700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v>500</v>
      </c>
      <c r="D72"/>
      <c r="E72" s="13">
        <f t="shared" si="1"/>
        <v>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</row>
    <row r="75" spans="1:5" x14ac:dyDescent="0.3">
      <c r="A75" s="11" t="s">
        <v>118</v>
      </c>
      <c r="B75" s="14" t="s">
        <v>119</v>
      </c>
      <c r="C75" s="12">
        <f>2100</f>
        <v>2100</v>
      </c>
      <c r="D75"/>
      <c r="E75" s="13">
        <f t="shared" si="1"/>
        <v>0</v>
      </c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3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</row>
    <row r="80" spans="1:5" x14ac:dyDescent="0.3">
      <c r="E80" s="13">
        <f t="shared" si="1"/>
        <v>0</v>
      </c>
    </row>
    <row r="81" spans="1:14" x14ac:dyDescent="0.3">
      <c r="A81" s="15">
        <v>8</v>
      </c>
      <c r="B81" s="7" t="s">
        <v>96</v>
      </c>
      <c r="C81" s="9"/>
      <c r="D81" s="8"/>
      <c r="E81" s="13">
        <f t="shared" si="1"/>
        <v>0</v>
      </c>
    </row>
    <row r="82" spans="1:14" x14ac:dyDescent="0.3">
      <c r="A82" s="47" t="s">
        <v>6</v>
      </c>
      <c r="B82" s="14" t="s">
        <v>97</v>
      </c>
      <c r="C82">
        <v>650</v>
      </c>
      <c r="D82" s="12">
        <v>20</v>
      </c>
      <c r="E82" s="13">
        <f t="shared" si="1"/>
        <v>13000</v>
      </c>
    </row>
    <row r="83" spans="1:14" x14ac:dyDescent="0.3">
      <c r="A83" s="47" t="s">
        <v>8</v>
      </c>
      <c r="B83" s="14" t="s">
        <v>100</v>
      </c>
      <c r="E83" s="13">
        <f t="shared" si="1"/>
        <v>0</v>
      </c>
      <c r="K83" s="47"/>
      <c r="L83" s="14"/>
      <c r="M83"/>
      <c r="N83" s="12"/>
    </row>
    <row r="84" spans="1:14" x14ac:dyDescent="0.3">
      <c r="A84" s="47" t="s">
        <v>10</v>
      </c>
      <c r="B84" s="14" t="s">
        <v>101</v>
      </c>
      <c r="E84" s="13">
        <f t="shared" si="1"/>
        <v>0</v>
      </c>
      <c r="K84" s="47"/>
      <c r="L84" s="14"/>
      <c r="M84"/>
      <c r="N84" s="12"/>
    </row>
    <row r="85" spans="1:14" x14ac:dyDescent="0.3">
      <c r="A85" s="47" t="s">
        <v>12</v>
      </c>
      <c r="B85" s="14" t="s">
        <v>102</v>
      </c>
      <c r="E85" s="13">
        <f t="shared" si="1"/>
        <v>0</v>
      </c>
      <c r="K85" s="47"/>
      <c r="L85" s="14"/>
      <c r="M85"/>
      <c r="N85" s="12"/>
    </row>
    <row r="86" spans="1:14" x14ac:dyDescent="0.3">
      <c r="A86" s="47" t="s">
        <v>14</v>
      </c>
      <c r="B86" s="14" t="s">
        <v>104</v>
      </c>
      <c r="E86" s="13">
        <f t="shared" si="1"/>
        <v>0</v>
      </c>
      <c r="K86" s="47"/>
      <c r="L86" s="14"/>
      <c r="M86"/>
      <c r="N86" s="12"/>
    </row>
    <row r="87" spans="1:14" x14ac:dyDescent="0.3">
      <c r="A87" s="47" t="s">
        <v>22</v>
      </c>
      <c r="B87" s="14" t="s">
        <v>105</v>
      </c>
      <c r="E87" s="13">
        <f t="shared" si="1"/>
        <v>0</v>
      </c>
    </row>
    <row r="88" spans="1:14" x14ac:dyDescent="0.3">
      <c r="A88" s="47" t="s">
        <v>24</v>
      </c>
      <c r="B88" s="14" t="s">
        <v>106</v>
      </c>
      <c r="E88" s="13">
        <f t="shared" si="1"/>
        <v>0</v>
      </c>
    </row>
    <row r="89" spans="1:14" x14ac:dyDescent="0.3">
      <c r="A89" s="47" t="s">
        <v>26</v>
      </c>
      <c r="B89" s="14" t="s">
        <v>107</v>
      </c>
      <c r="E89" s="13">
        <f t="shared" si="1"/>
        <v>0</v>
      </c>
    </row>
    <row r="90" spans="1:14" x14ac:dyDescent="0.3">
      <c r="A90" s="47" t="s">
        <v>28</v>
      </c>
      <c r="B90" s="14" t="s">
        <v>108</v>
      </c>
      <c r="E90" s="13">
        <f t="shared" si="1"/>
        <v>0</v>
      </c>
    </row>
    <row r="91" spans="1:14" x14ac:dyDescent="0.3">
      <c r="A91" s="47" t="s">
        <v>30</v>
      </c>
      <c r="B91" s="14" t="s">
        <v>109</v>
      </c>
      <c r="E91" s="13">
        <f t="shared" si="1"/>
        <v>0</v>
      </c>
    </row>
    <row r="92" spans="1:14" x14ac:dyDescent="0.3">
      <c r="A92" s="47" t="s">
        <v>32</v>
      </c>
      <c r="B92" s="14" t="s">
        <v>110</v>
      </c>
      <c r="E92" s="13">
        <f t="shared" si="1"/>
        <v>0</v>
      </c>
    </row>
    <row r="93" spans="1:14" x14ac:dyDescent="0.3">
      <c r="A93" s="47" t="s">
        <v>34</v>
      </c>
      <c r="B93" s="14" t="s">
        <v>111</v>
      </c>
      <c r="E93" s="13">
        <f t="shared" si="1"/>
        <v>0</v>
      </c>
    </row>
    <row r="94" spans="1:14" x14ac:dyDescent="0.3">
      <c r="A94" s="47" t="s">
        <v>66</v>
      </c>
      <c r="B94" s="14" t="s">
        <v>112</v>
      </c>
      <c r="C94">
        <v>200</v>
      </c>
      <c r="D94" s="12">
        <v>1</v>
      </c>
      <c r="E94" s="13">
        <f t="shared" si="1"/>
        <v>200</v>
      </c>
    </row>
    <row r="95" spans="1:14" x14ac:dyDescent="0.3">
      <c r="A95" s="47" t="s">
        <v>68</v>
      </c>
      <c r="B95" s="14" t="s">
        <v>113</v>
      </c>
      <c r="E95" s="13">
        <f t="shared" si="1"/>
        <v>0</v>
      </c>
    </row>
    <row r="96" spans="1:14" x14ac:dyDescent="0.3">
      <c r="A96" s="47" t="s">
        <v>70</v>
      </c>
      <c r="B96" s="14" t="s">
        <v>114</v>
      </c>
      <c r="E96" s="13">
        <f t="shared" si="1"/>
        <v>0</v>
      </c>
    </row>
    <row r="97" spans="1:5" x14ac:dyDescent="0.3">
      <c r="A97" s="47" t="s">
        <v>72</v>
      </c>
      <c r="B97" s="14" t="s">
        <v>115</v>
      </c>
      <c r="E97" s="13">
        <f t="shared" si="1"/>
        <v>0</v>
      </c>
    </row>
    <row r="98" spans="1:5" x14ac:dyDescent="0.3">
      <c r="A98" s="47" t="s">
        <v>74</v>
      </c>
      <c r="B98" s="14" t="s">
        <v>116</v>
      </c>
      <c r="C98">
        <v>1200</v>
      </c>
      <c r="D98" s="12">
        <v>1</v>
      </c>
      <c r="E98" s="13">
        <f t="shared" si="1"/>
        <v>1200</v>
      </c>
    </row>
    <row r="99" spans="1:5" x14ac:dyDescent="0.3">
      <c r="A99" s="47" t="s">
        <v>79</v>
      </c>
      <c r="B99" s="14" t="s">
        <v>120</v>
      </c>
      <c r="E99" s="13">
        <f t="shared" si="1"/>
        <v>0</v>
      </c>
    </row>
    <row r="100" spans="1:5" x14ac:dyDescent="0.3">
      <c r="A100" s="47" t="s">
        <v>85</v>
      </c>
      <c r="B100" s="14" t="s">
        <v>121</v>
      </c>
      <c r="E100" s="13">
        <f t="shared" si="1"/>
        <v>0</v>
      </c>
    </row>
    <row r="101" spans="1:5" x14ac:dyDescent="0.3">
      <c r="A101" s="47" t="s">
        <v>87</v>
      </c>
      <c r="B101" s="14" t="s">
        <v>122</v>
      </c>
      <c r="E101" s="13">
        <f t="shared" si="1"/>
        <v>0</v>
      </c>
    </row>
    <row r="102" spans="1:5" x14ac:dyDescent="0.3">
      <c r="A102" s="47" t="s">
        <v>118</v>
      </c>
      <c r="B102" s="14" t="s">
        <v>123</v>
      </c>
      <c r="E102" s="13">
        <f t="shared" si="1"/>
        <v>0</v>
      </c>
    </row>
    <row r="103" spans="1:5" x14ac:dyDescent="0.3">
      <c r="A103" s="47" t="s">
        <v>130</v>
      </c>
      <c r="B103" s="14" t="s">
        <v>124</v>
      </c>
      <c r="E103" s="13">
        <f t="shared" si="1"/>
        <v>0</v>
      </c>
    </row>
    <row r="104" spans="1:5" x14ac:dyDescent="0.3">
      <c r="A104" s="47" t="s">
        <v>131</v>
      </c>
      <c r="B104" s="14" t="s">
        <v>125</v>
      </c>
      <c r="E104" s="13">
        <f t="shared" si="1"/>
        <v>0</v>
      </c>
    </row>
    <row r="105" spans="1:5" x14ac:dyDescent="0.3">
      <c r="A105" s="47" t="s">
        <v>132</v>
      </c>
      <c r="B105" s="14" t="s">
        <v>126</v>
      </c>
      <c r="E105" s="13">
        <f t="shared" si="1"/>
        <v>0</v>
      </c>
    </row>
    <row r="106" spans="1:5" x14ac:dyDescent="0.3">
      <c r="A106" s="47" t="s">
        <v>133</v>
      </c>
      <c r="B106" s="14" t="s">
        <v>127</v>
      </c>
      <c r="E106" s="13">
        <f t="shared" si="1"/>
        <v>0</v>
      </c>
    </row>
    <row r="107" spans="1:5" x14ac:dyDescent="0.3">
      <c r="A107" s="47" t="s">
        <v>134</v>
      </c>
      <c r="B107" s="14" t="s">
        <v>128</v>
      </c>
      <c r="E107" s="13">
        <f t="shared" si="1"/>
        <v>0</v>
      </c>
    </row>
    <row r="108" spans="1:5" x14ac:dyDescent="0.3">
      <c r="A108" s="47" t="s">
        <v>135</v>
      </c>
      <c r="B108" s="14" t="s">
        <v>129</v>
      </c>
      <c r="E108" s="13">
        <f t="shared" si="1"/>
        <v>0</v>
      </c>
    </row>
    <row r="109" spans="1:5" x14ac:dyDescent="0.3">
      <c r="A109" s="47"/>
      <c r="B109" s="14"/>
      <c r="E109" s="13">
        <f t="shared" si="1"/>
        <v>0</v>
      </c>
    </row>
    <row r="110" spans="1:5" x14ac:dyDescent="0.3">
      <c r="A110" s="47"/>
      <c r="B110" s="14"/>
      <c r="E110" s="13">
        <f t="shared" si="1"/>
        <v>0</v>
      </c>
    </row>
    <row r="111" spans="1:5" x14ac:dyDescent="0.3">
      <c r="A111" s="47"/>
      <c r="B111" s="14"/>
      <c r="E111" s="13">
        <f t="shared" si="1"/>
        <v>0</v>
      </c>
    </row>
    <row r="112" spans="1:5" x14ac:dyDescent="0.3">
      <c r="E112" s="13">
        <f t="shared" si="1"/>
        <v>0</v>
      </c>
    </row>
    <row r="113" spans="2:5" x14ac:dyDescent="0.3">
      <c r="B113" t="s">
        <v>80</v>
      </c>
      <c r="E113" s="13">
        <f>SUM(E2:E112)</f>
        <v>19900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10"/>
  <sheetViews>
    <sheetView tabSelected="1" topLeftCell="A66" workbookViewId="0">
      <selection activeCell="C76" sqref="C7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4700/12</f>
        <v>391.66666666666669</v>
      </c>
      <c r="D3">
        <v>36</v>
      </c>
      <c r="E3" s="13">
        <f t="shared" ref="E3:E66" si="0">D3*C3</f>
        <v>14100</v>
      </c>
      <c r="J3" s="32"/>
    </row>
    <row r="4" spans="1:10" x14ac:dyDescent="0.3">
      <c r="A4" s="11" t="s">
        <v>8</v>
      </c>
      <c r="B4" t="s">
        <v>9</v>
      </c>
      <c r="C4" s="12">
        <f>4800/12</f>
        <v>400</v>
      </c>
      <c r="D4">
        <v>48</v>
      </c>
      <c r="E4" s="13">
        <f t="shared" si="0"/>
        <v>19200</v>
      </c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>
        <v>36</v>
      </c>
      <c r="E5" s="13">
        <f t="shared" si="0"/>
        <v>21300</v>
      </c>
    </row>
    <row r="6" spans="1:10" x14ac:dyDescent="0.3">
      <c r="A6" s="11" t="s">
        <v>12</v>
      </c>
      <c r="B6" t="s">
        <v>13</v>
      </c>
      <c r="C6" s="12">
        <f>8000/12</f>
        <v>666.66666666666663</v>
      </c>
      <c r="D6">
        <v>12</v>
      </c>
      <c r="E6" s="13">
        <f t="shared" si="0"/>
        <v>8000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117</v>
      </c>
      <c r="C8" s="12">
        <f>6100/12</f>
        <v>508.33333333333331</v>
      </c>
      <c r="D8">
        <v>12</v>
      </c>
      <c r="E8" s="13">
        <f t="shared" si="0"/>
        <v>6100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3">
        <f t="shared" si="0"/>
        <v>0</v>
      </c>
    </row>
    <row r="11" spans="1:10" x14ac:dyDescent="0.3">
      <c r="A11" s="11" t="s">
        <v>6</v>
      </c>
      <c r="B11" t="s">
        <v>17</v>
      </c>
      <c r="C11" s="12">
        <f>3600/12</f>
        <v>300</v>
      </c>
      <c r="D11">
        <v>36</v>
      </c>
      <c r="E11" s="13">
        <f t="shared" si="0"/>
        <v>10800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 t="shared" si="0"/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f>3300/12</f>
        <v>275</v>
      </c>
      <c r="D16">
        <v>36</v>
      </c>
      <c r="E16" s="13">
        <f t="shared" si="0"/>
        <v>9900</v>
      </c>
    </row>
    <row r="17" spans="1:10" x14ac:dyDescent="0.3">
      <c r="A17" s="11" t="s">
        <v>24</v>
      </c>
      <c r="B17" t="s">
        <v>25</v>
      </c>
      <c r="C17" s="12">
        <f>2700/12</f>
        <v>225</v>
      </c>
      <c r="D17">
        <v>36</v>
      </c>
      <c r="E17" s="13">
        <f t="shared" si="0"/>
        <v>8100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f>2700/12</f>
        <v>225</v>
      </c>
      <c r="D19">
        <v>24</v>
      </c>
      <c r="E19" s="13">
        <f t="shared" si="0"/>
        <v>5400</v>
      </c>
    </row>
    <row r="20" spans="1:10" x14ac:dyDescent="0.3">
      <c r="A20" s="11" t="s">
        <v>30</v>
      </c>
      <c r="B20" t="s">
        <v>31</v>
      </c>
      <c r="C20" s="12">
        <f>9300/36</f>
        <v>258.33333333333331</v>
      </c>
      <c r="D20">
        <v>36</v>
      </c>
      <c r="E20" s="13">
        <f t="shared" si="0"/>
        <v>9300</v>
      </c>
    </row>
    <row r="21" spans="1:10" x14ac:dyDescent="0.3">
      <c r="A21" s="11" t="s">
        <v>32</v>
      </c>
      <c r="B21" t="s">
        <v>33</v>
      </c>
      <c r="C21" s="12">
        <f>1000/12</f>
        <v>83.333333333333329</v>
      </c>
      <c r="D21">
        <f>12*7</f>
        <v>84</v>
      </c>
      <c r="E21" s="13">
        <f t="shared" si="0"/>
        <v>7000</v>
      </c>
    </row>
    <row r="22" spans="1:10" x14ac:dyDescent="0.3">
      <c r="A22" s="11" t="s">
        <v>34</v>
      </c>
      <c r="B22" t="s">
        <v>35</v>
      </c>
      <c r="C22" s="12">
        <f>3000/12</f>
        <v>250</v>
      </c>
      <c r="D22">
        <v>24</v>
      </c>
      <c r="E22" s="13">
        <f t="shared" si="0"/>
        <v>6000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f>4800/12</f>
        <v>400</v>
      </c>
      <c r="D25">
        <v>48</v>
      </c>
      <c r="E25" s="13">
        <f t="shared" si="0"/>
        <v>19200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3">
        <f t="shared" si="0"/>
        <v>0</v>
      </c>
    </row>
    <row r="29" spans="1:10" x14ac:dyDescent="0.3">
      <c r="A29" s="11" t="s">
        <v>6</v>
      </c>
      <c r="B29" t="s">
        <v>37</v>
      </c>
      <c r="C29" s="12">
        <v>200</v>
      </c>
      <c r="D29">
        <v>75</v>
      </c>
      <c r="E29" s="13">
        <f t="shared" si="0"/>
        <v>15000</v>
      </c>
    </row>
    <row r="30" spans="1:10" x14ac:dyDescent="0.3">
      <c r="A30" s="11" t="s">
        <v>8</v>
      </c>
      <c r="B30" t="s">
        <v>38</v>
      </c>
      <c r="C30" s="12">
        <v>40000</v>
      </c>
      <c r="D30">
        <v>1</v>
      </c>
      <c r="E30" s="13">
        <f t="shared" si="0"/>
        <v>40000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f>4500/2</f>
        <v>2250</v>
      </c>
      <c r="D33">
        <v>2</v>
      </c>
      <c r="E33" s="13">
        <f t="shared" si="0"/>
        <v>4500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98</v>
      </c>
      <c r="C40" s="12"/>
      <c r="D40"/>
      <c r="E40" s="13">
        <f t="shared" si="0"/>
        <v>0</v>
      </c>
    </row>
    <row r="41" spans="1:10" x14ac:dyDescent="0.3">
      <c r="A41" s="11" t="s">
        <v>66</v>
      </c>
      <c r="B41" t="s">
        <v>99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3">
        <f t="shared" si="0"/>
        <v>0</v>
      </c>
    </row>
    <row r="44" spans="1:10" x14ac:dyDescent="0.3">
      <c r="A44" s="11" t="s">
        <v>6</v>
      </c>
      <c r="B44" t="s">
        <v>45</v>
      </c>
      <c r="C44" s="12">
        <v>1000</v>
      </c>
      <c r="D44"/>
      <c r="E44" s="13">
        <f t="shared" si="0"/>
        <v>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 t="shared" si="0"/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 t="shared" si="0"/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si="0"/>
        <v>0</v>
      </c>
    </row>
    <row r="49" spans="1:5" x14ac:dyDescent="0.3">
      <c r="C49" s="12"/>
      <c r="D49"/>
      <c r="E49" s="13">
        <f t="shared" si="0"/>
        <v>0</v>
      </c>
    </row>
    <row r="50" spans="1:5" x14ac:dyDescent="0.3">
      <c r="A50" s="6">
        <v>5</v>
      </c>
      <c r="B50" s="7" t="s">
        <v>50</v>
      </c>
      <c r="C50" s="9"/>
      <c r="D50" s="8"/>
      <c r="E50" s="13">
        <f t="shared" si="0"/>
        <v>0</v>
      </c>
    </row>
    <row r="51" spans="1:5" x14ac:dyDescent="0.3">
      <c r="A51" s="11" t="s">
        <v>6</v>
      </c>
      <c r="B51" t="s">
        <v>51</v>
      </c>
      <c r="C51" s="12">
        <v>100</v>
      </c>
      <c r="D51"/>
      <c r="E51" s="13">
        <f t="shared" si="0"/>
        <v>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0"/>
        <v>0</v>
      </c>
    </row>
    <row r="53" spans="1:5" x14ac:dyDescent="0.3">
      <c r="A53" s="11"/>
      <c r="C53" s="12"/>
      <c r="D53"/>
      <c r="E53" s="13">
        <f t="shared" si="0"/>
        <v>0</v>
      </c>
    </row>
    <row r="54" spans="1:5" x14ac:dyDescent="0.3">
      <c r="A54" s="6">
        <v>6</v>
      </c>
      <c r="B54" s="7" t="s">
        <v>53</v>
      </c>
      <c r="C54" s="9"/>
      <c r="D54" s="8"/>
      <c r="E54" s="13">
        <f t="shared" si="0"/>
        <v>0</v>
      </c>
    </row>
    <row r="55" spans="1:5" x14ac:dyDescent="0.3">
      <c r="A55" s="11" t="s">
        <v>6</v>
      </c>
      <c r="B55" s="14" t="s">
        <v>54</v>
      </c>
      <c r="C55" s="12">
        <v>11500</v>
      </c>
      <c r="D55">
        <v>1</v>
      </c>
      <c r="E55" s="13">
        <f t="shared" si="0"/>
        <v>11500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0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0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0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0"/>
        <v>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0"/>
        <v>0</v>
      </c>
    </row>
    <row r="61" spans="1:5" x14ac:dyDescent="0.3">
      <c r="A61" s="11" t="s">
        <v>24</v>
      </c>
      <c r="B61" s="14" t="s">
        <v>60</v>
      </c>
      <c r="C61" s="12">
        <v>875</v>
      </c>
      <c r="D61">
        <v>36</v>
      </c>
      <c r="E61" s="13">
        <f t="shared" si="0"/>
        <v>31500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0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0"/>
        <v>0</v>
      </c>
    </row>
    <row r="64" spans="1:5" x14ac:dyDescent="0.3">
      <c r="A64" s="11" t="s">
        <v>30</v>
      </c>
      <c r="B64" s="14" t="s">
        <v>63</v>
      </c>
      <c r="C64" s="12">
        <v>700</v>
      </c>
      <c r="D64"/>
      <c r="E64" s="13">
        <f t="shared" si="0"/>
        <v>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0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0"/>
        <v>0</v>
      </c>
    </row>
    <row r="67" spans="1:5" x14ac:dyDescent="0.3">
      <c r="A67" s="11" t="s">
        <v>66</v>
      </c>
      <c r="B67" s="14" t="s">
        <v>67</v>
      </c>
      <c r="C67" s="12">
        <v>300</v>
      </c>
      <c r="D67"/>
      <c r="E67" s="13">
        <f t="shared" ref="E67:E109" si="1">D67*C67</f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f>13000/24</f>
        <v>541.66666666666663</v>
      </c>
      <c r="D69">
        <v>24</v>
      </c>
      <c r="E69" s="13">
        <f t="shared" si="1"/>
        <v>13000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</row>
    <row r="75" spans="1:5" x14ac:dyDescent="0.3">
      <c r="A75" s="11" t="s">
        <v>118</v>
      </c>
      <c r="B75" s="14" t="s">
        <v>119</v>
      </c>
      <c r="C75" s="12">
        <v>2100</v>
      </c>
      <c r="D75">
        <v>3</v>
      </c>
      <c r="E75" s="13">
        <f t="shared" si="1"/>
        <v>6300</v>
      </c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3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</row>
    <row r="80" spans="1:5" x14ac:dyDescent="0.3">
      <c r="A80" s="11"/>
      <c r="B80" s="14"/>
      <c r="C80" s="12"/>
      <c r="D80"/>
      <c r="E80" s="13">
        <f t="shared" si="1"/>
        <v>0</v>
      </c>
    </row>
    <row r="81" spans="1:11" x14ac:dyDescent="0.3">
      <c r="A81" s="15">
        <v>8</v>
      </c>
      <c r="B81" s="7" t="s">
        <v>96</v>
      </c>
      <c r="C81" s="9"/>
      <c r="D81" s="8"/>
      <c r="E81" s="13">
        <f t="shared" si="1"/>
        <v>0</v>
      </c>
    </row>
    <row r="82" spans="1:11" x14ac:dyDescent="0.3">
      <c r="A82" s="47" t="s">
        <v>6</v>
      </c>
      <c r="B82" s="14" t="s">
        <v>97</v>
      </c>
      <c r="C82">
        <v>100</v>
      </c>
      <c r="E82" s="13">
        <f t="shared" si="1"/>
        <v>0</v>
      </c>
      <c r="I82" s="14"/>
      <c r="K82" s="12"/>
    </row>
    <row r="83" spans="1:11" x14ac:dyDescent="0.3">
      <c r="A83" s="47" t="s">
        <v>8</v>
      </c>
      <c r="B83" s="14" t="s">
        <v>100</v>
      </c>
      <c r="E83" s="13">
        <f t="shared" si="1"/>
        <v>0</v>
      </c>
      <c r="I83" s="14"/>
      <c r="K83" s="12"/>
    </row>
    <row r="84" spans="1:11" x14ac:dyDescent="0.3">
      <c r="A84" s="47" t="s">
        <v>10</v>
      </c>
      <c r="B84" s="14" t="s">
        <v>101</v>
      </c>
      <c r="C84">
        <v>6000</v>
      </c>
      <c r="D84" s="12">
        <v>1</v>
      </c>
      <c r="E84" s="13">
        <f t="shared" si="1"/>
        <v>6000</v>
      </c>
      <c r="I84" s="14"/>
      <c r="K84" s="12"/>
    </row>
    <row r="85" spans="1:11" x14ac:dyDescent="0.3">
      <c r="A85" s="47" t="s">
        <v>12</v>
      </c>
      <c r="B85" s="14" t="s">
        <v>102</v>
      </c>
      <c r="E85" s="13">
        <f t="shared" si="1"/>
        <v>0</v>
      </c>
      <c r="I85" s="14"/>
      <c r="K85" s="12"/>
    </row>
    <row r="86" spans="1:11" x14ac:dyDescent="0.3">
      <c r="A86" s="47" t="s">
        <v>14</v>
      </c>
      <c r="B86" s="14" t="s">
        <v>104</v>
      </c>
      <c r="E86" s="13">
        <f t="shared" si="1"/>
        <v>0</v>
      </c>
      <c r="I86" s="14"/>
      <c r="K86" s="12"/>
    </row>
    <row r="87" spans="1:11" x14ac:dyDescent="0.3">
      <c r="A87" s="47" t="s">
        <v>22</v>
      </c>
      <c r="B87" s="14" t="s">
        <v>105</v>
      </c>
      <c r="E87" s="13">
        <f t="shared" si="1"/>
        <v>0</v>
      </c>
      <c r="I87" s="14"/>
      <c r="K87" s="12"/>
    </row>
    <row r="88" spans="1:11" x14ac:dyDescent="0.3">
      <c r="A88" s="47" t="s">
        <v>24</v>
      </c>
      <c r="B88" s="14" t="s">
        <v>106</v>
      </c>
      <c r="E88" s="13">
        <f t="shared" si="1"/>
        <v>0</v>
      </c>
      <c r="I88" s="14"/>
      <c r="K88" s="12"/>
    </row>
    <row r="89" spans="1:11" x14ac:dyDescent="0.3">
      <c r="A89" s="47" t="s">
        <v>26</v>
      </c>
      <c r="B89" s="14" t="s">
        <v>107</v>
      </c>
      <c r="E89" s="13">
        <f t="shared" si="1"/>
        <v>0</v>
      </c>
      <c r="I89" s="14"/>
      <c r="K89" s="12"/>
    </row>
    <row r="90" spans="1:11" x14ac:dyDescent="0.3">
      <c r="A90" s="47" t="s">
        <v>28</v>
      </c>
      <c r="B90" s="14" t="s">
        <v>108</v>
      </c>
      <c r="E90" s="13">
        <f t="shared" si="1"/>
        <v>0</v>
      </c>
      <c r="I90" s="14"/>
      <c r="K90" s="12"/>
    </row>
    <row r="91" spans="1:11" x14ac:dyDescent="0.3">
      <c r="A91" s="47" t="s">
        <v>30</v>
      </c>
      <c r="B91" s="14" t="s">
        <v>109</v>
      </c>
      <c r="E91" s="13">
        <f t="shared" si="1"/>
        <v>0</v>
      </c>
      <c r="I91" s="14"/>
      <c r="K91" s="12"/>
    </row>
    <row r="92" spans="1:11" x14ac:dyDescent="0.3">
      <c r="A92" s="47" t="s">
        <v>32</v>
      </c>
      <c r="B92" s="14" t="s">
        <v>110</v>
      </c>
      <c r="E92" s="13">
        <f t="shared" si="1"/>
        <v>0</v>
      </c>
      <c r="I92" s="14"/>
      <c r="K92" s="12"/>
    </row>
    <row r="93" spans="1:11" x14ac:dyDescent="0.3">
      <c r="A93" s="47" t="s">
        <v>34</v>
      </c>
      <c r="B93" s="14" t="s">
        <v>111</v>
      </c>
      <c r="E93" s="13">
        <f t="shared" si="1"/>
        <v>0</v>
      </c>
      <c r="I93" s="14"/>
      <c r="K93" s="12"/>
    </row>
    <row r="94" spans="1:11" x14ac:dyDescent="0.3">
      <c r="A94" s="47" t="s">
        <v>66</v>
      </c>
      <c r="B94" s="14" t="s">
        <v>112</v>
      </c>
      <c r="E94" s="13">
        <f t="shared" si="1"/>
        <v>0</v>
      </c>
    </row>
    <row r="95" spans="1:11" x14ac:dyDescent="0.3">
      <c r="A95" s="47" t="s">
        <v>68</v>
      </c>
      <c r="B95" s="14" t="s">
        <v>113</v>
      </c>
      <c r="E95" s="13">
        <f t="shared" si="1"/>
        <v>0</v>
      </c>
    </row>
    <row r="96" spans="1:11" x14ac:dyDescent="0.3">
      <c r="A96" s="47" t="s">
        <v>70</v>
      </c>
      <c r="B96" s="14" t="s">
        <v>114</v>
      </c>
      <c r="E96" s="13">
        <f t="shared" si="1"/>
        <v>0</v>
      </c>
    </row>
    <row r="97" spans="1:11" x14ac:dyDescent="0.3">
      <c r="A97" s="47" t="s">
        <v>72</v>
      </c>
      <c r="B97" s="14" t="s">
        <v>115</v>
      </c>
      <c r="E97" s="13">
        <f t="shared" si="1"/>
        <v>0</v>
      </c>
    </row>
    <row r="98" spans="1:11" x14ac:dyDescent="0.3">
      <c r="A98" s="47" t="s">
        <v>74</v>
      </c>
      <c r="B98" s="14" t="s">
        <v>116</v>
      </c>
      <c r="C98">
        <v>605</v>
      </c>
      <c r="D98" s="12">
        <v>20</v>
      </c>
      <c r="E98" s="13">
        <f t="shared" si="1"/>
        <v>12100</v>
      </c>
    </row>
    <row r="99" spans="1:11" x14ac:dyDescent="0.3">
      <c r="A99" s="47" t="s">
        <v>79</v>
      </c>
      <c r="B99" s="14" t="s">
        <v>120</v>
      </c>
      <c r="C99">
        <v>2000</v>
      </c>
      <c r="D99" s="12">
        <v>1</v>
      </c>
      <c r="E99" s="13">
        <f t="shared" si="1"/>
        <v>2000</v>
      </c>
    </row>
    <row r="100" spans="1:11" x14ac:dyDescent="0.3">
      <c r="A100" s="47" t="s">
        <v>85</v>
      </c>
      <c r="B100" s="14" t="s">
        <v>121</v>
      </c>
      <c r="C100">
        <v>1000</v>
      </c>
      <c r="D100" s="12">
        <v>2</v>
      </c>
      <c r="E100" s="13">
        <f t="shared" si="1"/>
        <v>2000</v>
      </c>
    </row>
    <row r="101" spans="1:11" x14ac:dyDescent="0.3">
      <c r="A101" s="47" t="s">
        <v>87</v>
      </c>
      <c r="B101" s="14" t="s">
        <v>122</v>
      </c>
      <c r="C101">
        <v>1500</v>
      </c>
      <c r="D101" s="12">
        <v>1</v>
      </c>
      <c r="E101" s="13">
        <f t="shared" si="1"/>
        <v>1500</v>
      </c>
    </row>
    <row r="102" spans="1:11" x14ac:dyDescent="0.3">
      <c r="A102" s="47" t="s">
        <v>118</v>
      </c>
      <c r="B102" s="14" t="s">
        <v>123</v>
      </c>
      <c r="C102">
        <v>5000</v>
      </c>
      <c r="D102" s="12">
        <v>1</v>
      </c>
      <c r="E102" s="13">
        <f t="shared" si="1"/>
        <v>5000</v>
      </c>
    </row>
    <row r="103" spans="1:11" x14ac:dyDescent="0.3">
      <c r="A103" s="47" t="s">
        <v>130</v>
      </c>
      <c r="B103" s="14" t="s">
        <v>124</v>
      </c>
      <c r="C103">
        <v>700</v>
      </c>
      <c r="D103" s="12">
        <v>1</v>
      </c>
      <c r="E103" s="13">
        <f t="shared" si="1"/>
        <v>700</v>
      </c>
    </row>
    <row r="104" spans="1:11" x14ac:dyDescent="0.3">
      <c r="A104" s="47" t="s">
        <v>131</v>
      </c>
      <c r="B104" s="14" t="s">
        <v>125</v>
      </c>
      <c r="C104">
        <v>300</v>
      </c>
      <c r="D104" s="12">
        <v>2</v>
      </c>
      <c r="E104" s="13">
        <f t="shared" si="1"/>
        <v>600</v>
      </c>
      <c r="I104" s="14"/>
      <c r="K104" s="12"/>
    </row>
    <row r="105" spans="1:11" x14ac:dyDescent="0.3">
      <c r="A105" s="47" t="s">
        <v>132</v>
      </c>
      <c r="B105" s="14" t="s">
        <v>126</v>
      </c>
      <c r="C105">
        <v>150</v>
      </c>
      <c r="D105" s="12">
        <v>3</v>
      </c>
      <c r="E105" s="13">
        <f t="shared" si="1"/>
        <v>450</v>
      </c>
      <c r="I105" s="14"/>
      <c r="K105" s="12"/>
    </row>
    <row r="106" spans="1:11" x14ac:dyDescent="0.3">
      <c r="A106" s="47" t="s">
        <v>133</v>
      </c>
      <c r="B106" s="14" t="s">
        <v>127</v>
      </c>
      <c r="C106">
        <v>600</v>
      </c>
      <c r="D106" s="12">
        <v>1</v>
      </c>
      <c r="E106" s="13">
        <f t="shared" si="1"/>
        <v>600</v>
      </c>
    </row>
    <row r="107" spans="1:11" x14ac:dyDescent="0.3">
      <c r="A107" s="47" t="s">
        <v>134</v>
      </c>
      <c r="B107" s="14" t="s">
        <v>128</v>
      </c>
      <c r="C107">
        <v>2000</v>
      </c>
      <c r="D107" s="12">
        <v>1</v>
      </c>
      <c r="E107" s="13">
        <f t="shared" si="1"/>
        <v>2000</v>
      </c>
    </row>
    <row r="108" spans="1:11" x14ac:dyDescent="0.3">
      <c r="A108" s="47" t="s">
        <v>135</v>
      </c>
      <c r="B108" s="14" t="s">
        <v>129</v>
      </c>
      <c r="E108" s="13">
        <f t="shared" si="1"/>
        <v>0</v>
      </c>
    </row>
    <row r="109" spans="1:11" x14ac:dyDescent="0.3">
      <c r="E109" s="13">
        <f t="shared" si="1"/>
        <v>0</v>
      </c>
    </row>
    <row r="110" spans="1:11" x14ac:dyDescent="0.3">
      <c r="B110" t="s">
        <v>80</v>
      </c>
      <c r="E110" s="13">
        <f>SUM(E2:E109)</f>
        <v>299150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12"/>
  <sheetViews>
    <sheetView topLeftCell="A97" zoomScale="85" zoomScaleNormal="85" workbookViewId="0">
      <selection activeCell="E112" sqref="E11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6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117</v>
      </c>
      <c r="C8" s="12">
        <f>6100/12</f>
        <v>508.33333333333331</v>
      </c>
      <c r="D8"/>
      <c r="E8" s="13">
        <f t="shared" si="0"/>
        <v>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3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 t="shared" si="0"/>
        <v>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 t="shared" si="0"/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1000</v>
      </c>
      <c r="D15">
        <v>10</v>
      </c>
      <c r="E15" s="13">
        <f t="shared" si="0"/>
        <v>10000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</row>
    <row r="20" spans="1:10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</row>
    <row r="21" spans="1:10" x14ac:dyDescent="0.3">
      <c r="A21" s="11" t="s">
        <v>32</v>
      </c>
      <c r="B21" t="s">
        <v>33</v>
      </c>
      <c r="C21" s="12">
        <v>150</v>
      </c>
      <c r="D21"/>
      <c r="E21" s="13">
        <f t="shared" si="0"/>
        <v>0</v>
      </c>
    </row>
    <row r="22" spans="1:10" x14ac:dyDescent="0.3">
      <c r="A22" s="11" t="s">
        <v>34</v>
      </c>
      <c r="B22" t="s">
        <v>35</v>
      </c>
      <c r="C22" s="12">
        <v>500</v>
      </c>
      <c r="D22"/>
      <c r="E22" s="13">
        <f t="shared" si="0"/>
        <v>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3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</row>
    <row r="30" spans="1:10" x14ac:dyDescent="0.3">
      <c r="A30" s="11" t="s">
        <v>8</v>
      </c>
      <c r="B30" t="s">
        <v>38</v>
      </c>
      <c r="C30" s="12">
        <v>20200</v>
      </c>
      <c r="D30">
        <v>1</v>
      </c>
      <c r="E30" s="13">
        <f t="shared" si="0"/>
        <v>20200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2000</v>
      </c>
      <c r="D33">
        <v>3</v>
      </c>
      <c r="E33" s="13">
        <f t="shared" si="0"/>
        <v>6000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4300</v>
      </c>
      <c r="D36">
        <v>1</v>
      </c>
      <c r="E36" s="13">
        <f t="shared" si="0"/>
        <v>4300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1300</v>
      </c>
      <c r="D38">
        <v>10</v>
      </c>
      <c r="E38" s="13">
        <f t="shared" si="0"/>
        <v>13000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98</v>
      </c>
      <c r="C40" s="12"/>
      <c r="D40"/>
      <c r="E40" s="13">
        <f t="shared" si="0"/>
        <v>0</v>
      </c>
    </row>
    <row r="41" spans="1:10" x14ac:dyDescent="0.3">
      <c r="A41" s="11" t="s">
        <v>66</v>
      </c>
      <c r="B41" t="s">
        <v>99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3">
        <f t="shared" si="0"/>
        <v>0</v>
      </c>
    </row>
    <row r="44" spans="1:10" x14ac:dyDescent="0.3">
      <c r="A44" s="11" t="s">
        <v>6</v>
      </c>
      <c r="B44" t="s">
        <v>45</v>
      </c>
      <c r="C44" s="12">
        <v>1100</v>
      </c>
      <c r="D44"/>
      <c r="E44" s="13">
        <f t="shared" si="0"/>
        <v>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 t="shared" si="0"/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 t="shared" si="0"/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si="0"/>
        <v>0</v>
      </c>
    </row>
    <row r="49" spans="1:5" x14ac:dyDescent="0.3">
      <c r="C49" s="12"/>
      <c r="D49"/>
      <c r="E49" s="13">
        <f t="shared" si="0"/>
        <v>0</v>
      </c>
    </row>
    <row r="50" spans="1:5" x14ac:dyDescent="0.3">
      <c r="A50" s="6">
        <v>5</v>
      </c>
      <c r="B50" s="7" t="s">
        <v>50</v>
      </c>
      <c r="C50" s="9"/>
      <c r="D50" s="8"/>
      <c r="E50" s="13">
        <f t="shared" si="0"/>
        <v>0</v>
      </c>
    </row>
    <row r="51" spans="1:5" x14ac:dyDescent="0.3">
      <c r="A51" s="11" t="s">
        <v>6</v>
      </c>
      <c r="B51" t="s">
        <v>51</v>
      </c>
      <c r="C51" s="12">
        <v>100</v>
      </c>
      <c r="D51"/>
      <c r="E51" s="13">
        <f t="shared" si="0"/>
        <v>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0"/>
        <v>0</v>
      </c>
    </row>
    <row r="53" spans="1:5" x14ac:dyDescent="0.3">
      <c r="A53" s="11"/>
      <c r="C53" s="12"/>
      <c r="D53"/>
      <c r="E53" s="13">
        <f t="shared" si="0"/>
        <v>0</v>
      </c>
    </row>
    <row r="54" spans="1:5" x14ac:dyDescent="0.3">
      <c r="A54" s="6">
        <v>6</v>
      </c>
      <c r="B54" s="7" t="s">
        <v>53</v>
      </c>
      <c r="C54" s="9"/>
      <c r="D54" s="8"/>
      <c r="E54" s="13">
        <f t="shared" si="0"/>
        <v>0</v>
      </c>
    </row>
    <row r="55" spans="1:5" x14ac:dyDescent="0.3">
      <c r="A55" s="11" t="s">
        <v>6</v>
      </c>
      <c r="B55" s="14" t="s">
        <v>54</v>
      </c>
      <c r="C55" s="12">
        <v>5300</v>
      </c>
      <c r="D55">
        <v>1</v>
      </c>
      <c r="E55" s="13">
        <f t="shared" si="0"/>
        <v>5300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0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0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0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0"/>
        <v>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0"/>
        <v>0</v>
      </c>
    </row>
    <row r="61" spans="1:5" x14ac:dyDescent="0.3">
      <c r="A61" s="11" t="s">
        <v>24</v>
      </c>
      <c r="B61" s="14" t="s">
        <v>60</v>
      </c>
      <c r="C61" s="12">
        <v>875</v>
      </c>
      <c r="D61">
        <v>24</v>
      </c>
      <c r="E61" s="13">
        <f t="shared" si="0"/>
        <v>21000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0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0"/>
        <v>0</v>
      </c>
    </row>
    <row r="64" spans="1:5" x14ac:dyDescent="0.3">
      <c r="A64" s="11" t="s">
        <v>30</v>
      </c>
      <c r="B64" s="14" t="s">
        <v>63</v>
      </c>
      <c r="C64" s="12">
        <v>700</v>
      </c>
      <c r="D64"/>
      <c r="E64" s="13">
        <f t="shared" si="0"/>
        <v>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0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0"/>
        <v>0</v>
      </c>
    </row>
    <row r="67" spans="1:5" x14ac:dyDescent="0.3">
      <c r="A67" s="11" t="s">
        <v>66</v>
      </c>
      <c r="B67" s="14" t="s">
        <v>67</v>
      </c>
      <c r="C67" s="12">
        <v>1</v>
      </c>
      <c r="D67"/>
      <c r="E67" s="13">
        <f t="shared" ref="E67:E111" si="1">D67*C67</f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f>6600/24</f>
        <v>275</v>
      </c>
      <c r="D72">
        <v>24</v>
      </c>
      <c r="E72" s="13">
        <f t="shared" si="1"/>
        <v>6600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</row>
    <row r="75" spans="1:5" x14ac:dyDescent="0.3">
      <c r="A75" s="11" t="s">
        <v>118</v>
      </c>
      <c r="B75" s="14" t="s">
        <v>119</v>
      </c>
      <c r="C75" s="12">
        <v>2100</v>
      </c>
      <c r="D75">
        <v>3</v>
      </c>
      <c r="E75" s="13">
        <f t="shared" si="1"/>
        <v>6300</v>
      </c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3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1000</v>
      </c>
      <c r="D79"/>
      <c r="E79" s="13">
        <f t="shared" si="1"/>
        <v>0</v>
      </c>
    </row>
    <row r="80" spans="1:5" x14ac:dyDescent="0.3">
      <c r="A80" s="11"/>
      <c r="B80" s="14"/>
      <c r="C80" s="12"/>
      <c r="D80"/>
      <c r="E80" s="13">
        <f t="shared" si="1"/>
        <v>0</v>
      </c>
    </row>
    <row r="81" spans="1:5" x14ac:dyDescent="0.3">
      <c r="A81" s="15">
        <v>8</v>
      </c>
      <c r="B81" s="7" t="s">
        <v>96</v>
      </c>
      <c r="C81" s="9"/>
      <c r="D81" s="8"/>
      <c r="E81" s="13">
        <f t="shared" si="1"/>
        <v>0</v>
      </c>
    </row>
    <row r="82" spans="1:5" x14ac:dyDescent="0.3">
      <c r="A82" s="47" t="s">
        <v>6</v>
      </c>
      <c r="B82" s="14" t="s">
        <v>97</v>
      </c>
      <c r="E82" s="13">
        <f t="shared" si="1"/>
        <v>0</v>
      </c>
    </row>
    <row r="83" spans="1:5" x14ac:dyDescent="0.3">
      <c r="A83" s="47" t="s">
        <v>8</v>
      </c>
      <c r="B83" s="14" t="s">
        <v>100</v>
      </c>
      <c r="E83" s="13">
        <f t="shared" si="1"/>
        <v>0</v>
      </c>
    </row>
    <row r="84" spans="1:5" x14ac:dyDescent="0.3">
      <c r="A84" s="47" t="s">
        <v>10</v>
      </c>
      <c r="B84" s="14" t="s">
        <v>101</v>
      </c>
      <c r="E84" s="13">
        <f t="shared" si="1"/>
        <v>0</v>
      </c>
    </row>
    <row r="85" spans="1:5" x14ac:dyDescent="0.3">
      <c r="A85" s="47" t="s">
        <v>12</v>
      </c>
      <c r="B85" s="14" t="s">
        <v>102</v>
      </c>
      <c r="E85" s="13">
        <f t="shared" si="1"/>
        <v>0</v>
      </c>
    </row>
    <row r="86" spans="1:5" x14ac:dyDescent="0.3">
      <c r="A86" s="47" t="s">
        <v>14</v>
      </c>
      <c r="B86" s="14" t="s">
        <v>104</v>
      </c>
      <c r="E86" s="13">
        <f t="shared" si="1"/>
        <v>0</v>
      </c>
    </row>
    <row r="87" spans="1:5" x14ac:dyDescent="0.3">
      <c r="A87" s="47" t="s">
        <v>22</v>
      </c>
      <c r="B87" s="14" t="s">
        <v>105</v>
      </c>
      <c r="E87" s="13">
        <f t="shared" si="1"/>
        <v>0</v>
      </c>
    </row>
    <row r="88" spans="1:5" x14ac:dyDescent="0.3">
      <c r="A88" s="47" t="s">
        <v>24</v>
      </c>
      <c r="B88" s="14" t="s">
        <v>106</v>
      </c>
      <c r="E88" s="13">
        <f t="shared" si="1"/>
        <v>0</v>
      </c>
    </row>
    <row r="89" spans="1:5" x14ac:dyDescent="0.3">
      <c r="A89" s="47" t="s">
        <v>26</v>
      </c>
      <c r="B89" s="14" t="s">
        <v>107</v>
      </c>
      <c r="E89" s="13">
        <f t="shared" si="1"/>
        <v>0</v>
      </c>
    </row>
    <row r="90" spans="1:5" x14ac:dyDescent="0.3">
      <c r="A90" s="47" t="s">
        <v>28</v>
      </c>
      <c r="B90" s="14" t="s">
        <v>108</v>
      </c>
      <c r="E90" s="13">
        <f t="shared" si="1"/>
        <v>0</v>
      </c>
    </row>
    <row r="91" spans="1:5" x14ac:dyDescent="0.3">
      <c r="A91" s="47" t="s">
        <v>30</v>
      </c>
      <c r="B91" s="14" t="s">
        <v>109</v>
      </c>
      <c r="E91" s="13">
        <f t="shared" si="1"/>
        <v>0</v>
      </c>
    </row>
    <row r="92" spans="1:5" x14ac:dyDescent="0.3">
      <c r="A92" s="47" t="s">
        <v>32</v>
      </c>
      <c r="B92" s="14" t="s">
        <v>110</v>
      </c>
      <c r="E92" s="13">
        <f t="shared" si="1"/>
        <v>0</v>
      </c>
    </row>
    <row r="93" spans="1:5" x14ac:dyDescent="0.3">
      <c r="A93" s="47" t="s">
        <v>34</v>
      </c>
      <c r="B93" s="14" t="s">
        <v>111</v>
      </c>
      <c r="E93" s="13">
        <f t="shared" si="1"/>
        <v>0</v>
      </c>
    </row>
    <row r="94" spans="1:5" x14ac:dyDescent="0.3">
      <c r="A94" s="47" t="s">
        <v>66</v>
      </c>
      <c r="B94" s="14" t="s">
        <v>112</v>
      </c>
      <c r="E94" s="13">
        <f t="shared" si="1"/>
        <v>0</v>
      </c>
    </row>
    <row r="95" spans="1:5" x14ac:dyDescent="0.3">
      <c r="A95" s="47" t="s">
        <v>68</v>
      </c>
      <c r="B95" s="14" t="s">
        <v>113</v>
      </c>
      <c r="E95" s="13">
        <f t="shared" si="1"/>
        <v>0</v>
      </c>
    </row>
    <row r="96" spans="1:5" x14ac:dyDescent="0.3">
      <c r="A96" s="47" t="s">
        <v>70</v>
      </c>
      <c r="B96" s="14" t="s">
        <v>114</v>
      </c>
      <c r="E96" s="13">
        <f t="shared" si="1"/>
        <v>0</v>
      </c>
    </row>
    <row r="97" spans="1:13" x14ac:dyDescent="0.3">
      <c r="A97" s="47" t="s">
        <v>72</v>
      </c>
      <c r="B97" s="14" t="s">
        <v>115</v>
      </c>
      <c r="E97" s="13">
        <f t="shared" si="1"/>
        <v>0</v>
      </c>
    </row>
    <row r="98" spans="1:13" x14ac:dyDescent="0.3">
      <c r="A98" s="47" t="s">
        <v>74</v>
      </c>
      <c r="B98" s="14" t="s">
        <v>116</v>
      </c>
      <c r="E98" s="13">
        <f t="shared" si="1"/>
        <v>0</v>
      </c>
    </row>
    <row r="99" spans="1:13" x14ac:dyDescent="0.3">
      <c r="A99" s="47" t="s">
        <v>79</v>
      </c>
      <c r="B99" s="14" t="s">
        <v>120</v>
      </c>
      <c r="E99" s="13">
        <f t="shared" si="1"/>
        <v>0</v>
      </c>
    </row>
    <row r="100" spans="1:13" x14ac:dyDescent="0.3">
      <c r="A100" s="47" t="s">
        <v>85</v>
      </c>
      <c r="B100" s="14" t="s">
        <v>121</v>
      </c>
      <c r="E100" s="13">
        <f t="shared" si="1"/>
        <v>0</v>
      </c>
    </row>
    <row r="101" spans="1:13" x14ac:dyDescent="0.3">
      <c r="A101" s="47" t="s">
        <v>87</v>
      </c>
      <c r="B101" s="14" t="s">
        <v>122</v>
      </c>
      <c r="E101" s="13">
        <f t="shared" si="1"/>
        <v>0</v>
      </c>
    </row>
    <row r="102" spans="1:13" x14ac:dyDescent="0.3">
      <c r="A102" s="47" t="s">
        <v>118</v>
      </c>
      <c r="B102" s="14" t="s">
        <v>123</v>
      </c>
      <c r="E102" s="13">
        <f t="shared" si="1"/>
        <v>0</v>
      </c>
    </row>
    <row r="103" spans="1:13" x14ac:dyDescent="0.3">
      <c r="A103" s="47" t="s">
        <v>130</v>
      </c>
      <c r="B103" s="14" t="s">
        <v>124</v>
      </c>
      <c r="E103" s="13">
        <f t="shared" si="1"/>
        <v>0</v>
      </c>
    </row>
    <row r="104" spans="1:13" x14ac:dyDescent="0.3">
      <c r="A104" s="47" t="s">
        <v>131</v>
      </c>
      <c r="B104" s="14" t="s">
        <v>125</v>
      </c>
      <c r="E104" s="13">
        <f t="shared" si="1"/>
        <v>0</v>
      </c>
      <c r="M104"/>
    </row>
    <row r="105" spans="1:13" x14ac:dyDescent="0.3">
      <c r="A105" s="47" t="s">
        <v>132</v>
      </c>
      <c r="B105" s="14" t="s">
        <v>126</v>
      </c>
      <c r="E105" s="13">
        <f t="shared" si="1"/>
        <v>0</v>
      </c>
      <c r="M105"/>
    </row>
    <row r="106" spans="1:13" x14ac:dyDescent="0.3">
      <c r="A106" s="47" t="s">
        <v>133</v>
      </c>
      <c r="B106" s="14" t="s">
        <v>127</v>
      </c>
      <c r="E106" s="13">
        <f t="shared" si="1"/>
        <v>0</v>
      </c>
      <c r="M106"/>
    </row>
    <row r="107" spans="1:13" x14ac:dyDescent="0.3">
      <c r="A107" s="47" t="s">
        <v>134</v>
      </c>
      <c r="B107" s="14" t="s">
        <v>128</v>
      </c>
      <c r="E107" s="13">
        <f t="shared" si="1"/>
        <v>0</v>
      </c>
      <c r="M107"/>
    </row>
    <row r="108" spans="1:13" x14ac:dyDescent="0.3">
      <c r="A108" s="47" t="s">
        <v>135</v>
      </c>
      <c r="B108" s="14" t="s">
        <v>129</v>
      </c>
      <c r="C108">
        <v>1500</v>
      </c>
      <c r="D108" s="12">
        <v>1</v>
      </c>
      <c r="E108" s="13">
        <f t="shared" si="1"/>
        <v>1500</v>
      </c>
      <c r="M108"/>
    </row>
    <row r="109" spans="1:13" x14ac:dyDescent="0.3">
      <c r="A109" s="47"/>
      <c r="B109" s="14"/>
      <c r="E109" s="13">
        <f t="shared" si="1"/>
        <v>0</v>
      </c>
      <c r="M109"/>
    </row>
    <row r="110" spans="1:13" x14ac:dyDescent="0.3">
      <c r="A110" s="47"/>
      <c r="B110" s="14"/>
      <c r="E110" s="13">
        <f t="shared" si="1"/>
        <v>0</v>
      </c>
      <c r="M110"/>
    </row>
    <row r="111" spans="1:13" x14ac:dyDescent="0.3">
      <c r="E111" s="13">
        <f t="shared" si="1"/>
        <v>0</v>
      </c>
    </row>
    <row r="112" spans="1:13" x14ac:dyDescent="0.3">
      <c r="B112" t="s">
        <v>80</v>
      </c>
      <c r="E112" s="13">
        <f>SUM(E2:E111)</f>
        <v>94200</v>
      </c>
      <c r="M1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11"/>
  <sheetViews>
    <sheetView topLeftCell="A94" workbookViewId="0">
      <selection activeCell="E74" sqref="E74:E7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66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  <c r="M7" s="33"/>
    </row>
    <row r="8" spans="1:13" x14ac:dyDescent="0.3">
      <c r="A8" s="11" t="s">
        <v>22</v>
      </c>
      <c r="B8" t="s">
        <v>117</v>
      </c>
      <c r="C8" s="12">
        <f>6100/12</f>
        <v>508.33333333333331</v>
      </c>
      <c r="D8"/>
      <c r="E8" s="13">
        <f t="shared" si="0"/>
        <v>0</v>
      </c>
      <c r="M8" s="33"/>
    </row>
    <row r="9" spans="1:13" x14ac:dyDescent="0.3">
      <c r="A9" s="11"/>
      <c r="C9" s="12"/>
      <c r="D9"/>
      <c r="E9" s="13">
        <f t="shared" si="0"/>
        <v>0</v>
      </c>
      <c r="M9" s="33"/>
    </row>
    <row r="10" spans="1:13" x14ac:dyDescent="0.3">
      <c r="A10" s="6">
        <v>2</v>
      </c>
      <c r="B10" s="7" t="s">
        <v>16</v>
      </c>
      <c r="C10" s="9"/>
      <c r="D10" s="8"/>
      <c r="E10" s="13">
        <f t="shared" si="0"/>
        <v>0</v>
      </c>
      <c r="M10" s="33"/>
    </row>
    <row r="11" spans="1:13" x14ac:dyDescent="0.3">
      <c r="A11" s="11" t="s">
        <v>6</v>
      </c>
      <c r="B11" t="s">
        <v>17</v>
      </c>
      <c r="C11" s="50">
        <v>400</v>
      </c>
      <c r="D11"/>
      <c r="E11" s="13">
        <f t="shared" si="0"/>
        <v>0</v>
      </c>
      <c r="M11" s="33"/>
    </row>
    <row r="12" spans="1:13" x14ac:dyDescent="0.3">
      <c r="A12" s="11" t="s">
        <v>8</v>
      </c>
      <c r="B12" t="s">
        <v>18</v>
      </c>
      <c r="C12" s="12">
        <v>300</v>
      </c>
      <c r="D12"/>
      <c r="E12" s="13">
        <f t="shared" si="0"/>
        <v>0</v>
      </c>
      <c r="J12" s="32"/>
      <c r="M12" s="33"/>
    </row>
    <row r="13" spans="1:13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 s="33"/>
    </row>
    <row r="14" spans="1:13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 s="33"/>
    </row>
    <row r="15" spans="1:13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  <c r="M15" s="33"/>
    </row>
    <row r="16" spans="1:13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  <c r="M16" s="33"/>
    </row>
    <row r="17" spans="1:13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  <c r="M17" s="33"/>
    </row>
    <row r="18" spans="1:13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 s="33"/>
    </row>
    <row r="19" spans="1:13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  <c r="M19" s="33"/>
    </row>
    <row r="20" spans="1:13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  <c r="M20" s="33"/>
    </row>
    <row r="21" spans="1:13" x14ac:dyDescent="0.3">
      <c r="A21" s="11" t="s">
        <v>32</v>
      </c>
      <c r="B21" t="s">
        <v>33</v>
      </c>
      <c r="C21" s="12">
        <v>150</v>
      </c>
      <c r="D21"/>
      <c r="E21" s="13">
        <f t="shared" si="0"/>
        <v>0</v>
      </c>
      <c r="M21" s="33"/>
    </row>
    <row r="22" spans="1:13" x14ac:dyDescent="0.3">
      <c r="A22" s="11" t="s">
        <v>34</v>
      </c>
      <c r="B22" t="s">
        <v>35</v>
      </c>
      <c r="C22" s="12">
        <v>400</v>
      </c>
      <c r="D22"/>
      <c r="E22" s="13">
        <f t="shared" si="0"/>
        <v>0</v>
      </c>
      <c r="M22" s="33"/>
    </row>
    <row r="23" spans="1:13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  <c r="M24" s="33"/>
    </row>
    <row r="25" spans="1:13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  <c r="M25" s="33"/>
    </row>
    <row r="26" spans="1:13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3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  <c r="M29" s="33"/>
    </row>
    <row r="30" spans="1:13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A40" s="11" t="s">
        <v>34</v>
      </c>
      <c r="B40" t="s">
        <v>98</v>
      </c>
      <c r="C40" s="50"/>
      <c r="D40"/>
      <c r="E40" s="13">
        <f t="shared" si="0"/>
        <v>0</v>
      </c>
      <c r="M40" s="33"/>
    </row>
    <row r="41" spans="1:13" x14ac:dyDescent="0.3">
      <c r="A41" s="11" t="s">
        <v>66</v>
      </c>
      <c r="B41" t="s">
        <v>99</v>
      </c>
      <c r="C41" s="50"/>
      <c r="D41"/>
      <c r="E41" s="13">
        <f t="shared" si="0"/>
        <v>0</v>
      </c>
      <c r="M41" s="33"/>
    </row>
    <row r="42" spans="1:13" x14ac:dyDescent="0.3">
      <c r="C42" s="12"/>
      <c r="D42"/>
      <c r="E42" s="13">
        <f t="shared" si="0"/>
        <v>0</v>
      </c>
      <c r="M42" s="33"/>
    </row>
    <row r="43" spans="1:13" x14ac:dyDescent="0.3">
      <c r="A43" s="6">
        <v>4</v>
      </c>
      <c r="B43" s="7" t="s">
        <v>44</v>
      </c>
      <c r="C43" s="9"/>
      <c r="D43" s="8"/>
      <c r="E43" s="13">
        <f t="shared" si="0"/>
        <v>0</v>
      </c>
      <c r="M43" s="33"/>
    </row>
    <row r="44" spans="1:13" x14ac:dyDescent="0.3">
      <c r="A44" s="11" t="s">
        <v>6</v>
      </c>
      <c r="B44" t="s">
        <v>45</v>
      </c>
      <c r="C44" s="12">
        <v>1100</v>
      </c>
      <c r="D44"/>
      <c r="E44" s="13">
        <f t="shared" si="0"/>
        <v>0</v>
      </c>
      <c r="M44" s="33"/>
    </row>
    <row r="45" spans="1:13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  <c r="M45" s="33"/>
    </row>
    <row r="46" spans="1:13" x14ac:dyDescent="0.3">
      <c r="A46" s="11" t="s">
        <v>10</v>
      </c>
      <c r="B46" t="s">
        <v>47</v>
      </c>
      <c r="C46" s="12"/>
      <c r="E46" s="13">
        <f t="shared" si="0"/>
        <v>0</v>
      </c>
      <c r="M46" s="33"/>
    </row>
    <row r="47" spans="1:13" x14ac:dyDescent="0.3">
      <c r="A47" s="11" t="s">
        <v>12</v>
      </c>
      <c r="B47" t="s">
        <v>48</v>
      </c>
      <c r="C47" s="12"/>
      <c r="D47"/>
      <c r="E47" s="13">
        <f t="shared" si="0"/>
        <v>0</v>
      </c>
      <c r="M47" s="33"/>
    </row>
    <row r="48" spans="1:13" x14ac:dyDescent="0.3">
      <c r="A48" s="11" t="s">
        <v>14</v>
      </c>
      <c r="B48" t="s">
        <v>49</v>
      </c>
      <c r="C48" s="12"/>
      <c r="D48"/>
      <c r="E48" s="13">
        <f t="shared" si="0"/>
        <v>0</v>
      </c>
      <c r="M48" s="33"/>
    </row>
    <row r="49" spans="1:13" x14ac:dyDescent="0.3">
      <c r="C49" s="12"/>
      <c r="D49"/>
      <c r="E49" s="13">
        <f t="shared" si="0"/>
        <v>0</v>
      </c>
      <c r="M49" s="33"/>
    </row>
    <row r="50" spans="1:13" x14ac:dyDescent="0.3">
      <c r="A50" s="6">
        <v>5</v>
      </c>
      <c r="B50" s="7" t="s">
        <v>50</v>
      </c>
      <c r="C50" s="9"/>
      <c r="D50" s="8"/>
      <c r="E50" s="13">
        <f t="shared" si="0"/>
        <v>0</v>
      </c>
      <c r="M50" s="33"/>
    </row>
    <row r="51" spans="1:13" x14ac:dyDescent="0.3">
      <c r="A51" s="11" t="s">
        <v>6</v>
      </c>
      <c r="B51" t="s">
        <v>51</v>
      </c>
      <c r="C51" s="12">
        <v>100</v>
      </c>
      <c r="D51"/>
      <c r="E51" s="13">
        <f t="shared" si="0"/>
        <v>0</v>
      </c>
      <c r="M51" s="33"/>
    </row>
    <row r="52" spans="1:13" x14ac:dyDescent="0.3">
      <c r="A52" s="11" t="s">
        <v>8</v>
      </c>
      <c r="B52" t="s">
        <v>52</v>
      </c>
      <c r="C52" s="12">
        <v>200</v>
      </c>
      <c r="D52"/>
      <c r="E52" s="13">
        <f t="shared" si="0"/>
        <v>0</v>
      </c>
      <c r="M52" s="33"/>
    </row>
    <row r="53" spans="1:13" x14ac:dyDescent="0.3">
      <c r="A53" s="11"/>
      <c r="C53" s="12"/>
      <c r="D53"/>
      <c r="E53" s="13">
        <f t="shared" si="0"/>
        <v>0</v>
      </c>
      <c r="M53" s="33"/>
    </row>
    <row r="54" spans="1:13" x14ac:dyDescent="0.3">
      <c r="A54" s="6">
        <v>6</v>
      </c>
      <c r="B54" s="7" t="s">
        <v>53</v>
      </c>
      <c r="C54" s="9"/>
      <c r="D54" s="8"/>
      <c r="E54" s="13">
        <f t="shared" si="0"/>
        <v>0</v>
      </c>
      <c r="M54" s="33"/>
    </row>
    <row r="55" spans="1:13" x14ac:dyDescent="0.3">
      <c r="A55" s="11" t="s">
        <v>6</v>
      </c>
      <c r="B55" s="14" t="s">
        <v>54</v>
      </c>
      <c r="C55" s="12">
        <v>5500</v>
      </c>
      <c r="D55">
        <v>1</v>
      </c>
      <c r="E55" s="13">
        <f t="shared" si="0"/>
        <v>5500</v>
      </c>
      <c r="M55" s="33"/>
    </row>
    <row r="56" spans="1:13" x14ac:dyDescent="0.3">
      <c r="A56" s="11" t="s">
        <v>8</v>
      </c>
      <c r="B56" s="14" t="s">
        <v>55</v>
      </c>
      <c r="C56" s="12">
        <v>300</v>
      </c>
      <c r="D56"/>
      <c r="E56" s="13">
        <f t="shared" si="0"/>
        <v>0</v>
      </c>
      <c r="M56" s="33"/>
    </row>
    <row r="57" spans="1:13" x14ac:dyDescent="0.3">
      <c r="A57" s="11" t="s">
        <v>10</v>
      </c>
      <c r="B57" s="14" t="s">
        <v>56</v>
      </c>
      <c r="C57" s="12">
        <v>500</v>
      </c>
      <c r="D57"/>
      <c r="E57" s="13">
        <f t="shared" si="0"/>
        <v>0</v>
      </c>
      <c r="M57" s="33"/>
    </row>
    <row r="58" spans="1:13" x14ac:dyDescent="0.3">
      <c r="A58" s="11" t="s">
        <v>12</v>
      </c>
      <c r="B58" s="14" t="s">
        <v>57</v>
      </c>
      <c r="C58" s="12">
        <v>800</v>
      </c>
      <c r="D58"/>
      <c r="E58" s="13">
        <f t="shared" si="0"/>
        <v>0</v>
      </c>
      <c r="M58" s="33"/>
    </row>
    <row r="59" spans="1:13" x14ac:dyDescent="0.3">
      <c r="A59" s="11" t="s">
        <v>14</v>
      </c>
      <c r="B59" s="14" t="s">
        <v>58</v>
      </c>
      <c r="C59" s="12">
        <v>300</v>
      </c>
      <c r="D59"/>
      <c r="E59" s="13">
        <f t="shared" si="0"/>
        <v>0</v>
      </c>
      <c r="M59" s="33"/>
    </row>
    <row r="60" spans="1:13" x14ac:dyDescent="0.3">
      <c r="A60" s="11" t="s">
        <v>22</v>
      </c>
      <c r="B60" s="14" t="s">
        <v>59</v>
      </c>
      <c r="C60" s="12">
        <v>300</v>
      </c>
      <c r="D60"/>
      <c r="E60" s="13">
        <f t="shared" si="0"/>
        <v>0</v>
      </c>
      <c r="M60" s="33"/>
    </row>
    <row r="61" spans="1:13" x14ac:dyDescent="0.3">
      <c r="A61" s="11" t="s">
        <v>24</v>
      </c>
      <c r="B61" s="14" t="s">
        <v>60</v>
      </c>
      <c r="C61" s="12">
        <v>1300</v>
      </c>
      <c r="D61"/>
      <c r="E61" s="13">
        <f t="shared" si="0"/>
        <v>0</v>
      </c>
      <c r="M61" s="33"/>
    </row>
    <row r="62" spans="1:13" x14ac:dyDescent="0.3">
      <c r="A62" s="11" t="s">
        <v>26</v>
      </c>
      <c r="B62" s="14" t="s">
        <v>61</v>
      </c>
      <c r="C62" s="12">
        <v>300</v>
      </c>
      <c r="D62"/>
      <c r="E62" s="13">
        <f t="shared" si="0"/>
        <v>0</v>
      </c>
      <c r="M62" s="33"/>
    </row>
    <row r="63" spans="1:13" x14ac:dyDescent="0.3">
      <c r="A63" s="11" t="s">
        <v>28</v>
      </c>
      <c r="B63" s="14" t="s">
        <v>62</v>
      </c>
      <c r="C63" s="12">
        <v>500</v>
      </c>
      <c r="D63"/>
      <c r="E63" s="13">
        <f t="shared" si="0"/>
        <v>0</v>
      </c>
      <c r="M63" s="33"/>
    </row>
    <row r="64" spans="1:13" x14ac:dyDescent="0.3">
      <c r="A64" s="11" t="s">
        <v>30</v>
      </c>
      <c r="B64" s="14" t="s">
        <v>63</v>
      </c>
      <c r="C64" s="12">
        <v>700</v>
      </c>
      <c r="D64"/>
      <c r="E64" s="13">
        <f t="shared" si="0"/>
        <v>0</v>
      </c>
      <c r="M64" s="33"/>
    </row>
    <row r="65" spans="1:13" x14ac:dyDescent="0.3">
      <c r="A65" s="11" t="s">
        <v>32</v>
      </c>
      <c r="B65" s="14" t="s">
        <v>64</v>
      </c>
      <c r="C65" s="12">
        <v>800</v>
      </c>
      <c r="D65"/>
      <c r="E65" s="13">
        <f t="shared" si="0"/>
        <v>0</v>
      </c>
      <c r="M65" s="33"/>
    </row>
    <row r="66" spans="1:13" x14ac:dyDescent="0.3">
      <c r="A66" s="11" t="s">
        <v>34</v>
      </c>
      <c r="B66" s="14" t="s">
        <v>65</v>
      </c>
      <c r="C66" s="12">
        <v>300</v>
      </c>
      <c r="D66"/>
      <c r="E66" s="13">
        <f t="shared" si="0"/>
        <v>0</v>
      </c>
      <c r="M66" s="33"/>
    </row>
    <row r="67" spans="1:13" x14ac:dyDescent="0.3">
      <c r="A67" s="11" t="s">
        <v>66</v>
      </c>
      <c r="B67" s="14" t="s">
        <v>67</v>
      </c>
      <c r="C67" s="12">
        <v>1</v>
      </c>
      <c r="D67"/>
      <c r="E67" s="13">
        <f t="shared" ref="E67:E110" si="1">D67*C67</f>
        <v>0</v>
      </c>
      <c r="M67" s="33"/>
    </row>
    <row r="68" spans="1:13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  <c r="M68" s="33"/>
    </row>
    <row r="69" spans="1:13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  <c r="M69" s="33"/>
    </row>
    <row r="70" spans="1:13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  <c r="M70" s="33"/>
    </row>
    <row r="71" spans="1:13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  <c r="M71" s="33"/>
    </row>
    <row r="72" spans="1:13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  <c r="M72" s="33"/>
    </row>
    <row r="73" spans="1:13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  <c r="M73" s="33"/>
    </row>
    <row r="74" spans="1:13" x14ac:dyDescent="0.3">
      <c r="A74" s="11" t="s">
        <v>87</v>
      </c>
      <c r="B74" s="14" t="s">
        <v>88</v>
      </c>
      <c r="C74" s="12">
        <v>500</v>
      </c>
      <c r="D74"/>
      <c r="E74" s="13">
        <f>D74*C74</f>
        <v>0</v>
      </c>
      <c r="M74" s="33"/>
    </row>
    <row r="75" spans="1:13" x14ac:dyDescent="0.3">
      <c r="A75" s="11" t="s">
        <v>118</v>
      </c>
      <c r="B75" s="14" t="s">
        <v>119</v>
      </c>
      <c r="C75" s="12">
        <f>2100</f>
        <v>2100</v>
      </c>
      <c r="D75"/>
      <c r="E75" s="13">
        <f t="shared" ref="E75:E76" si="2">D75*C75</f>
        <v>0</v>
      </c>
      <c r="M75" s="33"/>
    </row>
    <row r="76" spans="1:13" x14ac:dyDescent="0.3">
      <c r="C76" s="12"/>
      <c r="D76"/>
      <c r="E76" s="13">
        <f t="shared" si="2"/>
        <v>0</v>
      </c>
      <c r="M76" s="33"/>
    </row>
    <row r="77" spans="1:13" x14ac:dyDescent="0.3">
      <c r="A77" s="15">
        <v>7</v>
      </c>
      <c r="B77" s="7" t="s">
        <v>76</v>
      </c>
      <c r="C77" s="9"/>
      <c r="D77" s="8"/>
      <c r="E77" s="13">
        <f t="shared" si="1"/>
        <v>0</v>
      </c>
      <c r="M77" s="33"/>
    </row>
    <row r="78" spans="1:13" x14ac:dyDescent="0.3">
      <c r="A78" s="11" t="s">
        <v>6</v>
      </c>
      <c r="B78" s="14" t="s">
        <v>77</v>
      </c>
      <c r="C78" s="12"/>
      <c r="D78"/>
      <c r="E78" s="13">
        <f t="shared" si="1"/>
        <v>0</v>
      </c>
      <c r="G78" s="14"/>
      <c r="I78" s="12"/>
      <c r="M78" s="33"/>
    </row>
    <row r="79" spans="1:13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  <c r="G79" s="14"/>
      <c r="I79" s="12"/>
      <c r="M79" s="33"/>
    </row>
    <row r="80" spans="1:13" x14ac:dyDescent="0.3">
      <c r="A80" s="11"/>
      <c r="B80" s="14"/>
      <c r="C80" s="12"/>
      <c r="D80"/>
      <c r="E80" s="13">
        <f t="shared" si="1"/>
        <v>0</v>
      </c>
      <c r="M80" s="33"/>
    </row>
    <row r="81" spans="1:13" x14ac:dyDescent="0.3">
      <c r="A81" s="15">
        <v>8</v>
      </c>
      <c r="B81" s="7" t="s">
        <v>96</v>
      </c>
      <c r="C81" s="9"/>
      <c r="D81" s="8"/>
      <c r="E81" s="13">
        <f t="shared" si="1"/>
        <v>0</v>
      </c>
      <c r="M81" s="33"/>
    </row>
    <row r="82" spans="1:13" x14ac:dyDescent="0.3">
      <c r="A82" s="47" t="s">
        <v>6</v>
      </c>
      <c r="B82" s="14" t="s">
        <v>97</v>
      </c>
      <c r="E82" s="13">
        <f t="shared" si="1"/>
        <v>0</v>
      </c>
      <c r="M82" s="33"/>
    </row>
    <row r="83" spans="1:13" x14ac:dyDescent="0.3">
      <c r="A83" s="47" t="s">
        <v>8</v>
      </c>
      <c r="B83" s="14" t="s">
        <v>100</v>
      </c>
      <c r="E83" s="13">
        <f t="shared" si="1"/>
        <v>0</v>
      </c>
      <c r="M83" s="33"/>
    </row>
    <row r="84" spans="1:13" x14ac:dyDescent="0.3">
      <c r="A84" s="47" t="s">
        <v>10</v>
      </c>
      <c r="B84" s="14" t="s">
        <v>101</v>
      </c>
      <c r="E84" s="13">
        <f t="shared" si="1"/>
        <v>0</v>
      </c>
      <c r="M84" s="33"/>
    </row>
    <row r="85" spans="1:13" x14ac:dyDescent="0.3">
      <c r="A85" s="47" t="s">
        <v>12</v>
      </c>
      <c r="B85" s="14" t="s">
        <v>102</v>
      </c>
      <c r="E85" s="13">
        <f t="shared" si="1"/>
        <v>0</v>
      </c>
      <c r="M85" s="33"/>
    </row>
    <row r="86" spans="1:13" x14ac:dyDescent="0.3">
      <c r="A86" s="47" t="s">
        <v>14</v>
      </c>
      <c r="B86" s="14" t="s">
        <v>104</v>
      </c>
      <c r="E86" s="13">
        <f t="shared" si="1"/>
        <v>0</v>
      </c>
      <c r="M86" s="33"/>
    </row>
    <row r="87" spans="1:13" x14ac:dyDescent="0.3">
      <c r="A87" s="47" t="s">
        <v>22</v>
      </c>
      <c r="B87" s="14" t="s">
        <v>105</v>
      </c>
      <c r="E87" s="13">
        <f t="shared" si="1"/>
        <v>0</v>
      </c>
      <c r="M87" s="33"/>
    </row>
    <row r="88" spans="1:13" x14ac:dyDescent="0.3">
      <c r="A88" s="47" t="s">
        <v>24</v>
      </c>
      <c r="B88" s="14" t="s">
        <v>106</v>
      </c>
      <c r="E88" s="13">
        <f t="shared" si="1"/>
        <v>0</v>
      </c>
      <c r="M88" s="33"/>
    </row>
    <row r="89" spans="1:13" x14ac:dyDescent="0.3">
      <c r="A89" s="47" t="s">
        <v>26</v>
      </c>
      <c r="B89" s="14" t="s">
        <v>107</v>
      </c>
      <c r="C89">
        <v>1200</v>
      </c>
      <c r="D89" s="12">
        <v>1</v>
      </c>
      <c r="E89" s="13">
        <f t="shared" si="1"/>
        <v>1200</v>
      </c>
      <c r="M89" s="33"/>
    </row>
    <row r="90" spans="1:13" x14ac:dyDescent="0.3">
      <c r="A90" s="47" t="s">
        <v>28</v>
      </c>
      <c r="B90" s="14" t="s">
        <v>108</v>
      </c>
      <c r="E90" s="13">
        <f t="shared" si="1"/>
        <v>0</v>
      </c>
      <c r="M90" s="33"/>
    </row>
    <row r="91" spans="1:13" x14ac:dyDescent="0.3">
      <c r="A91" s="47" t="s">
        <v>30</v>
      </c>
      <c r="B91" s="14" t="s">
        <v>109</v>
      </c>
      <c r="E91" s="13">
        <f t="shared" si="1"/>
        <v>0</v>
      </c>
      <c r="M91" s="33"/>
    </row>
    <row r="92" spans="1:13" x14ac:dyDescent="0.3">
      <c r="A92" s="47" t="s">
        <v>32</v>
      </c>
      <c r="B92" s="14" t="s">
        <v>110</v>
      </c>
      <c r="E92" s="13">
        <f t="shared" si="1"/>
        <v>0</v>
      </c>
      <c r="M92" s="33"/>
    </row>
    <row r="93" spans="1:13" x14ac:dyDescent="0.3">
      <c r="A93" s="47" t="s">
        <v>34</v>
      </c>
      <c r="B93" s="14" t="s">
        <v>111</v>
      </c>
      <c r="E93" s="13">
        <f t="shared" si="1"/>
        <v>0</v>
      </c>
      <c r="M93" s="33"/>
    </row>
    <row r="94" spans="1:13" x14ac:dyDescent="0.3">
      <c r="A94" s="47" t="s">
        <v>66</v>
      </c>
      <c r="B94" s="14" t="s">
        <v>112</v>
      </c>
      <c r="E94" s="13">
        <f t="shared" si="1"/>
        <v>0</v>
      </c>
      <c r="M94" s="33"/>
    </row>
    <row r="95" spans="1:13" x14ac:dyDescent="0.3">
      <c r="A95" s="47" t="s">
        <v>68</v>
      </c>
      <c r="B95" s="14" t="s">
        <v>113</v>
      </c>
      <c r="E95" s="13">
        <f t="shared" si="1"/>
        <v>0</v>
      </c>
      <c r="M95" s="33"/>
    </row>
    <row r="96" spans="1:13" x14ac:dyDescent="0.3">
      <c r="A96" s="47" t="s">
        <v>70</v>
      </c>
      <c r="B96" s="14" t="s">
        <v>114</v>
      </c>
      <c r="C96">
        <v>200</v>
      </c>
      <c r="D96" s="12">
        <v>1</v>
      </c>
      <c r="E96" s="13">
        <f t="shared" si="1"/>
        <v>200</v>
      </c>
      <c r="M96" s="33"/>
    </row>
    <row r="97" spans="1:13" x14ac:dyDescent="0.3">
      <c r="A97" s="47" t="s">
        <v>72</v>
      </c>
      <c r="B97" s="14" t="s">
        <v>115</v>
      </c>
      <c r="E97" s="13">
        <f t="shared" si="1"/>
        <v>0</v>
      </c>
      <c r="M97" s="33"/>
    </row>
    <row r="98" spans="1:13" x14ac:dyDescent="0.3">
      <c r="A98" s="47" t="s">
        <v>74</v>
      </c>
      <c r="B98" s="14" t="s">
        <v>116</v>
      </c>
      <c r="E98" s="13">
        <f t="shared" si="1"/>
        <v>0</v>
      </c>
      <c r="M98" s="33"/>
    </row>
    <row r="99" spans="1:13" x14ac:dyDescent="0.3">
      <c r="A99" s="47" t="s">
        <v>79</v>
      </c>
      <c r="B99" s="14" t="s">
        <v>120</v>
      </c>
      <c r="E99" s="13">
        <f t="shared" si="1"/>
        <v>0</v>
      </c>
      <c r="M99" s="33"/>
    </row>
    <row r="100" spans="1:13" x14ac:dyDescent="0.3">
      <c r="A100" s="47" t="s">
        <v>85</v>
      </c>
      <c r="B100" s="14" t="s">
        <v>121</v>
      </c>
      <c r="E100" s="13">
        <f t="shared" si="1"/>
        <v>0</v>
      </c>
      <c r="M100" s="33"/>
    </row>
    <row r="101" spans="1:13" x14ac:dyDescent="0.3">
      <c r="A101" s="47" t="s">
        <v>87</v>
      </c>
      <c r="B101" s="14" t="s">
        <v>122</v>
      </c>
      <c r="E101" s="13">
        <f t="shared" si="1"/>
        <v>0</v>
      </c>
      <c r="M101" s="33"/>
    </row>
    <row r="102" spans="1:13" x14ac:dyDescent="0.3">
      <c r="A102" s="47" t="s">
        <v>118</v>
      </c>
      <c r="B102" s="14" t="s">
        <v>123</v>
      </c>
      <c r="E102" s="13">
        <f t="shared" si="1"/>
        <v>0</v>
      </c>
      <c r="M102" s="33"/>
    </row>
    <row r="103" spans="1:13" x14ac:dyDescent="0.3">
      <c r="A103" s="47" t="s">
        <v>130</v>
      </c>
      <c r="B103" s="14" t="s">
        <v>124</v>
      </c>
      <c r="E103" s="13">
        <f t="shared" si="1"/>
        <v>0</v>
      </c>
      <c r="M103" s="33"/>
    </row>
    <row r="104" spans="1:13" x14ac:dyDescent="0.3">
      <c r="A104" s="47" t="s">
        <v>131</v>
      </c>
      <c r="B104" s="14" t="s">
        <v>125</v>
      </c>
      <c r="E104" s="13">
        <f t="shared" si="1"/>
        <v>0</v>
      </c>
      <c r="M104" s="33"/>
    </row>
    <row r="105" spans="1:13" x14ac:dyDescent="0.3">
      <c r="A105" s="47" t="s">
        <v>132</v>
      </c>
      <c r="B105" s="14" t="s">
        <v>126</v>
      </c>
      <c r="E105" s="13">
        <f t="shared" si="1"/>
        <v>0</v>
      </c>
      <c r="M105" s="33"/>
    </row>
    <row r="106" spans="1:13" x14ac:dyDescent="0.3">
      <c r="A106" s="47" t="s">
        <v>133</v>
      </c>
      <c r="B106" s="14" t="s">
        <v>127</v>
      </c>
      <c r="E106" s="13">
        <f t="shared" si="1"/>
        <v>0</v>
      </c>
      <c r="M106" s="33"/>
    </row>
    <row r="107" spans="1:13" x14ac:dyDescent="0.3">
      <c r="A107" s="47" t="s">
        <v>134</v>
      </c>
      <c r="B107" s="14" t="s">
        <v>128</v>
      </c>
      <c r="E107" s="13">
        <f t="shared" si="1"/>
        <v>0</v>
      </c>
      <c r="M107" s="33"/>
    </row>
    <row r="108" spans="1:13" x14ac:dyDescent="0.3">
      <c r="A108" s="47" t="s">
        <v>135</v>
      </c>
      <c r="B108" s="14" t="s">
        <v>129</v>
      </c>
      <c r="E108" s="13">
        <f t="shared" si="1"/>
        <v>0</v>
      </c>
      <c r="M108" s="33"/>
    </row>
    <row r="109" spans="1:13" x14ac:dyDescent="0.3">
      <c r="E109" s="13">
        <f t="shared" si="1"/>
        <v>0</v>
      </c>
      <c r="M109" s="33"/>
    </row>
    <row r="110" spans="1:13" x14ac:dyDescent="0.3">
      <c r="E110" s="13">
        <f t="shared" si="1"/>
        <v>0</v>
      </c>
      <c r="M110" s="33"/>
    </row>
    <row r="111" spans="1:13" x14ac:dyDescent="0.3">
      <c r="B111" t="s">
        <v>80</v>
      </c>
      <c r="E111" s="13">
        <f>SUM(E2:E109)</f>
        <v>6900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Expence-15</vt:lpstr>
      <vt:lpstr>Expence-16</vt:lpstr>
      <vt:lpstr>Expence-17</vt:lpstr>
      <vt:lpstr>Expence-18</vt:lpstr>
      <vt:lpstr>Expence-19</vt:lpstr>
      <vt:lpstr>Expence-20</vt:lpstr>
      <vt:lpstr>Expence-21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2024-03-14T20:16:31Z</dcterms:modified>
</cp:coreProperties>
</file>
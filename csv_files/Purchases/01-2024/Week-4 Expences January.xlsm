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edict\OneDrive\Documents\Accounter\csv_files\Purchases\01-2024\"/>
    </mc:Choice>
  </mc:AlternateContent>
  <xr:revisionPtr revIDLastSave="0" documentId="13_ncr:1_{C7618C54-4403-49F4-BA65-E947939BCD21}" xr6:coauthVersionLast="47" xr6:coauthVersionMax="47" xr10:uidLastSave="{00000000-0000-0000-0000-000000000000}"/>
  <bookViews>
    <workbookView xWindow="-108" yWindow="-108" windowWidth="23256" windowHeight="12456" tabRatio="658" firstSheet="1" activeTab="6" xr2:uid="{00000000-000D-0000-FFFF-FFFF00000000}"/>
  </bookViews>
  <sheets>
    <sheet name="Summary" sheetId="8" r:id="rId1"/>
    <sheet name="Expence-22" sheetId="1" r:id="rId2"/>
    <sheet name="Expence-23" sheetId="2" r:id="rId3"/>
    <sheet name="Expence-24" sheetId="3" r:id="rId4"/>
    <sheet name="Expence-25" sheetId="4" r:id="rId5"/>
    <sheet name="Expence-26" sheetId="5" r:id="rId6"/>
    <sheet name="Expence-27" sheetId="6" r:id="rId7"/>
    <sheet name="Expence-28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8" l="1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39" i="1"/>
  <c r="C39" i="2"/>
  <c r="C39" i="3"/>
  <c r="C39" i="4"/>
  <c r="C39" i="5"/>
  <c r="C39" i="7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C4" i="7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0" i="7"/>
  <c r="E101" i="7"/>
  <c r="E102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C55" i="7" l="1"/>
  <c r="C62" i="7"/>
  <c r="D20" i="7"/>
  <c r="C20" i="7"/>
  <c r="C81" i="7"/>
  <c r="E81" i="7" s="1"/>
  <c r="C80" i="7"/>
  <c r="E80" i="7" s="1"/>
  <c r="C20" i="6"/>
  <c r="E39" i="6"/>
  <c r="H39" i="8" s="1"/>
  <c r="J39" i="8" s="1"/>
  <c r="C33" i="6"/>
  <c r="E73" i="5"/>
  <c r="C10" i="5"/>
  <c r="C16" i="5"/>
  <c r="C18" i="5"/>
  <c r="C19" i="5"/>
  <c r="C15" i="5"/>
  <c r="C6" i="5"/>
  <c r="C5" i="5"/>
  <c r="C4" i="5"/>
  <c r="C21" i="5"/>
  <c r="C62" i="2"/>
  <c r="E80" i="6"/>
  <c r="E79" i="6"/>
  <c r="E80" i="5"/>
  <c r="E79" i="5"/>
  <c r="E80" i="4"/>
  <c r="E79" i="4"/>
  <c r="E38" i="1"/>
  <c r="E38" i="2"/>
  <c r="E38" i="3"/>
  <c r="E38" i="4"/>
  <c r="E38" i="5"/>
  <c r="E38" i="6"/>
  <c r="E78" i="7"/>
  <c r="E79" i="7"/>
  <c r="E38" i="7"/>
  <c r="E22" i="6"/>
  <c r="E23" i="6"/>
  <c r="E24" i="6"/>
  <c r="E25" i="6"/>
  <c r="E26" i="6"/>
  <c r="E23" i="5"/>
  <c r="E22" i="3"/>
  <c r="E25" i="2"/>
  <c r="E24" i="2"/>
  <c r="E23" i="2"/>
  <c r="E23" i="1"/>
  <c r="E24" i="1"/>
  <c r="E25" i="1"/>
  <c r="E26" i="1"/>
  <c r="E24" i="5"/>
  <c r="E24" i="4"/>
  <c r="E25" i="3"/>
  <c r="E22" i="2"/>
  <c r="C59" i="1"/>
  <c r="E22" i="5"/>
  <c r="E23" i="4"/>
  <c r="E22" i="4"/>
  <c r="E35" i="1"/>
  <c r="E22" i="1"/>
  <c r="E35" i="2"/>
  <c r="E4" i="2" l="1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6" i="2"/>
  <c r="E27" i="2"/>
  <c r="E28" i="2"/>
  <c r="E29" i="2"/>
  <c r="E30" i="2"/>
  <c r="E31" i="2"/>
  <c r="E32" i="2"/>
  <c r="E33" i="2"/>
  <c r="E34" i="2"/>
  <c r="E36" i="2"/>
  <c r="E37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4" i="2"/>
  <c r="E75" i="2"/>
  <c r="E76" i="2"/>
  <c r="E77" i="2"/>
  <c r="E3" i="2"/>
  <c r="E37" i="6"/>
  <c r="E36" i="6"/>
  <c r="E37" i="5"/>
  <c r="E36" i="5"/>
  <c r="E37" i="4"/>
  <c r="E36" i="4"/>
  <c r="E37" i="3"/>
  <c r="E36" i="3"/>
  <c r="E36" i="1"/>
  <c r="E37" i="1"/>
  <c r="E72" i="1"/>
  <c r="E71" i="1"/>
  <c r="E70" i="1"/>
  <c r="E72" i="3"/>
  <c r="E71" i="3"/>
  <c r="E105" i="2" l="1"/>
  <c r="D3" i="8"/>
  <c r="D102" i="8" l="1"/>
  <c r="E77" i="7"/>
  <c r="E76" i="7"/>
  <c r="E75" i="7"/>
  <c r="E74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7" i="7"/>
  <c r="E36" i="7"/>
  <c r="E35" i="7"/>
  <c r="E34" i="7"/>
  <c r="E33" i="7"/>
  <c r="E32" i="7"/>
  <c r="E31" i="7"/>
  <c r="E30" i="7"/>
  <c r="E29" i="7"/>
  <c r="E28" i="7"/>
  <c r="E27" i="7"/>
  <c r="E26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  <c r="I3" i="8" s="1"/>
  <c r="E2" i="7"/>
  <c r="E103" i="7" l="1"/>
  <c r="E77" i="6"/>
  <c r="E76" i="6"/>
  <c r="E75" i="6"/>
  <c r="E74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5" i="6"/>
  <c r="E34" i="6"/>
  <c r="E33" i="6"/>
  <c r="E32" i="6"/>
  <c r="E31" i="6"/>
  <c r="E30" i="6"/>
  <c r="E29" i="6"/>
  <c r="E28" i="6"/>
  <c r="E27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H3" i="8" s="1"/>
  <c r="E2" i="6"/>
  <c r="I102" i="8" l="1"/>
  <c r="H102" i="8"/>
  <c r="E103" i="6"/>
  <c r="E77" i="1"/>
  <c r="E76" i="1"/>
  <c r="E75" i="1"/>
  <c r="E74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4" i="1"/>
  <c r="E33" i="1"/>
  <c r="E32" i="1"/>
  <c r="E31" i="1"/>
  <c r="E30" i="1"/>
  <c r="E29" i="1"/>
  <c r="E28" i="1"/>
  <c r="E27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C3" i="8" s="1"/>
  <c r="E2" i="1"/>
  <c r="C102" i="8" l="1"/>
  <c r="E101" i="1"/>
  <c r="E77" i="5"/>
  <c r="E76" i="5"/>
  <c r="E75" i="5"/>
  <c r="E74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5" i="5"/>
  <c r="E34" i="5"/>
  <c r="E33" i="5"/>
  <c r="E32" i="5"/>
  <c r="E31" i="5"/>
  <c r="E30" i="5"/>
  <c r="E29" i="5"/>
  <c r="E28" i="5"/>
  <c r="E27" i="5"/>
  <c r="E26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G3" i="8" s="1"/>
  <c r="E2" i="5"/>
  <c r="E103" i="5" l="1"/>
  <c r="G102" i="8"/>
  <c r="E77" i="4"/>
  <c r="E76" i="4"/>
  <c r="E75" i="4"/>
  <c r="E74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5" i="4"/>
  <c r="E34" i="4"/>
  <c r="E33" i="4"/>
  <c r="E32" i="4"/>
  <c r="E31" i="4"/>
  <c r="E30" i="4"/>
  <c r="E29" i="4"/>
  <c r="E28" i="4"/>
  <c r="E27" i="4"/>
  <c r="E26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F3" i="8" s="1"/>
  <c r="E2" i="4"/>
  <c r="E103" i="4" l="1"/>
  <c r="E77" i="3"/>
  <c r="E76" i="3"/>
  <c r="E75" i="3"/>
  <c r="E74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5" i="3"/>
  <c r="E34" i="3"/>
  <c r="E33" i="3"/>
  <c r="E32" i="3"/>
  <c r="E31" i="3"/>
  <c r="E30" i="3"/>
  <c r="E29" i="3"/>
  <c r="E28" i="3"/>
  <c r="E27" i="3"/>
  <c r="E26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F102" i="8" l="1"/>
  <c r="E103" i="3"/>
  <c r="E3" i="8"/>
  <c r="J3" i="8" l="1"/>
  <c r="J102" i="8" s="1"/>
  <c r="E102" i="8"/>
</calcChain>
</file>

<file path=xl/sharedStrings.xml><?xml version="1.0" encoding="utf-8"?>
<sst xmlns="http://schemas.openxmlformats.org/spreadsheetml/2006/main" count="1441" uniqueCount="122">
  <si>
    <t xml:space="preserve">SNO. </t>
  </si>
  <si>
    <t>Particular</t>
  </si>
  <si>
    <t>Sales Price</t>
  </si>
  <si>
    <t>Quantity Sold</t>
  </si>
  <si>
    <t>Amount</t>
  </si>
  <si>
    <t>Beers</t>
  </si>
  <si>
    <t>a</t>
  </si>
  <si>
    <t>Goldberg</t>
  </si>
  <si>
    <t>b</t>
  </si>
  <si>
    <t>Trophy</t>
  </si>
  <si>
    <t>c</t>
  </si>
  <si>
    <t>Legend</t>
  </si>
  <si>
    <t>d</t>
  </si>
  <si>
    <t>Smilenuf ice</t>
  </si>
  <si>
    <t>e</t>
  </si>
  <si>
    <t>Star</t>
  </si>
  <si>
    <t>Soft Drinks</t>
  </si>
  <si>
    <t>Nutri milk</t>
  </si>
  <si>
    <t>Teem</t>
  </si>
  <si>
    <t>Best bigi</t>
  </si>
  <si>
    <t>Best small</t>
  </si>
  <si>
    <t>Yougurt</t>
  </si>
  <si>
    <t>f</t>
  </si>
  <si>
    <t>Prediator</t>
  </si>
  <si>
    <t>g</t>
  </si>
  <si>
    <t>Fanta</t>
  </si>
  <si>
    <t>h</t>
  </si>
  <si>
    <t>Bigi Cola</t>
  </si>
  <si>
    <t>i</t>
  </si>
  <si>
    <t>Coke</t>
  </si>
  <si>
    <t>j</t>
  </si>
  <si>
    <t>Fearless</t>
  </si>
  <si>
    <t>k</t>
  </si>
  <si>
    <t>Water</t>
  </si>
  <si>
    <t>l</t>
  </si>
  <si>
    <t>Maltina</t>
  </si>
  <si>
    <t>Foods</t>
  </si>
  <si>
    <t>Ponmo</t>
  </si>
  <si>
    <t>Steak meat</t>
  </si>
  <si>
    <t>Asun</t>
  </si>
  <si>
    <t>Kilishi</t>
  </si>
  <si>
    <t>Fish Barbecue</t>
  </si>
  <si>
    <t>Chips</t>
  </si>
  <si>
    <t>Chicken</t>
  </si>
  <si>
    <t>Games</t>
  </si>
  <si>
    <t>Snooker</t>
  </si>
  <si>
    <t>Table Tennis</t>
  </si>
  <si>
    <t>Chess</t>
  </si>
  <si>
    <t>Monopoly</t>
  </si>
  <si>
    <t>Ludo</t>
  </si>
  <si>
    <t>Charging</t>
  </si>
  <si>
    <t>Phone Charging</t>
  </si>
  <si>
    <t>Laptop Charging</t>
  </si>
  <si>
    <t>Rum and Herbal Drinks</t>
  </si>
  <si>
    <t>Palm wine</t>
  </si>
  <si>
    <t>Cocosamba</t>
  </si>
  <si>
    <t>Doctor General</t>
  </si>
  <si>
    <t>Tiger</t>
  </si>
  <si>
    <t>Action bitter</t>
  </si>
  <si>
    <t>Regal</t>
  </si>
  <si>
    <t>Bullet</t>
  </si>
  <si>
    <t>Black wood</t>
  </si>
  <si>
    <t>Captain G</t>
  </si>
  <si>
    <t>Origin</t>
  </si>
  <si>
    <t>Ivory</t>
  </si>
  <si>
    <t>Yahoo</t>
  </si>
  <si>
    <t>m</t>
  </si>
  <si>
    <t>Alogin</t>
  </si>
  <si>
    <t>n</t>
  </si>
  <si>
    <t>Despirado</t>
  </si>
  <si>
    <t>o</t>
  </si>
  <si>
    <t>Monster</t>
  </si>
  <si>
    <t>p</t>
  </si>
  <si>
    <t>Gordon</t>
  </si>
  <si>
    <t>q</t>
  </si>
  <si>
    <t>Lord</t>
  </si>
  <si>
    <t>Rooms</t>
  </si>
  <si>
    <t>Lodging</t>
  </si>
  <si>
    <t>Short Rest</t>
  </si>
  <si>
    <t>r</t>
  </si>
  <si>
    <t xml:space="preserve">Total </t>
  </si>
  <si>
    <t>SNO.</t>
  </si>
  <si>
    <t>-</t>
  </si>
  <si>
    <t>Pepper Soup</t>
  </si>
  <si>
    <t>Schwepess</t>
  </si>
  <si>
    <t>s</t>
  </si>
  <si>
    <t>Jekonmo</t>
  </si>
  <si>
    <t>t</t>
  </si>
  <si>
    <t>Chelsea</t>
  </si>
  <si>
    <t>Indomie &amp; Egg</t>
  </si>
  <si>
    <t>Turkey</t>
  </si>
  <si>
    <t>Sosa</t>
  </si>
  <si>
    <t>7Up</t>
  </si>
  <si>
    <t>5 Alive</t>
  </si>
  <si>
    <t>Nutri choco</t>
  </si>
  <si>
    <t>Indomie</t>
  </si>
  <si>
    <t>Misc</t>
  </si>
  <si>
    <t>Pepper</t>
  </si>
  <si>
    <t>Liquid Soap</t>
  </si>
  <si>
    <t>Detergent</t>
  </si>
  <si>
    <t>Bike</t>
  </si>
  <si>
    <t>Salary</t>
  </si>
  <si>
    <t>Petrol</t>
  </si>
  <si>
    <t>Pos</t>
  </si>
  <si>
    <t>Maggi</t>
  </si>
  <si>
    <t>Vegetable Oil</t>
  </si>
  <si>
    <t>u</t>
  </si>
  <si>
    <t>Schwepess bottle</t>
  </si>
  <si>
    <t>Ice block</t>
  </si>
  <si>
    <t>Palmwine keg</t>
  </si>
  <si>
    <t>Knife</t>
  </si>
  <si>
    <t>Help Staffs</t>
  </si>
  <si>
    <t>Onion</t>
  </si>
  <si>
    <t>Yam</t>
  </si>
  <si>
    <t>Egg</t>
  </si>
  <si>
    <t>/</t>
  </si>
  <si>
    <t>Jug</t>
  </si>
  <si>
    <t>Cup</t>
  </si>
  <si>
    <t>Nylon</t>
  </si>
  <si>
    <t>Feeding</t>
  </si>
  <si>
    <t>Gas</t>
  </si>
  <si>
    <t>Car Petrol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</si>
</sst>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1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164" fontId="3" fillId="2" borderId="0" xfId="1" applyNumberFormat="1" applyFont="1" applyFill="1" applyAlignment="1">
      <alignment vertical="center"/>
    </xf>
    <xf numFmtId="43" fontId="3" fillId="2" borderId="0" xfId="1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0" fillId="3" borderId="0" xfId="0" applyFill="1"/>
    <xf numFmtId="164" fontId="0" fillId="3" borderId="0" xfId="1" applyNumberFormat="1" applyFont="1" applyFill="1"/>
    <xf numFmtId="43" fontId="0" fillId="3" borderId="0" xfId="1" applyFont="1" applyFill="1"/>
    <xf numFmtId="0" fontId="0" fillId="0" borderId="0" xfId="0" applyAlignment="1">
      <alignment horizontal="center" vertical="center"/>
    </xf>
    <xf numFmtId="164" fontId="0" fillId="0" borderId="0" xfId="1" applyNumberFormat="1" applyFont="1"/>
    <xf numFmtId="43" fontId="0" fillId="4" borderId="0" xfId="1" applyFont="1" applyFill="1"/>
    <xf numFmtId="0" fontId="4" fillId="0" borderId="0" xfId="0" applyFont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43" fontId="0" fillId="0" borderId="0" xfId="1" applyFont="1"/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 applyAlignment="1">
      <alignment horizontal="right" wrapText="1"/>
    </xf>
    <xf numFmtId="0" fontId="2" fillId="4" borderId="0" xfId="0" applyFont="1" applyFill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right" wrapText="1"/>
    </xf>
    <xf numFmtId="0" fontId="0" fillId="0" borderId="1" xfId="0" applyBorder="1" applyAlignment="1">
      <alignment vertical="center" wrapText="1"/>
    </xf>
    <xf numFmtId="3" fontId="0" fillId="0" borderId="1" xfId="0" applyNumberFormat="1" applyBorder="1" applyAlignment="1">
      <alignment horizontal="right" wrapText="1"/>
    </xf>
    <xf numFmtId="0" fontId="3" fillId="6" borderId="1" xfId="0" applyFont="1" applyFill="1" applyBorder="1" applyAlignment="1">
      <alignment horizontal="center" wrapText="1"/>
    </xf>
    <xf numFmtId="0" fontId="2" fillId="0" borderId="0" xfId="0" applyFont="1"/>
    <xf numFmtId="43" fontId="0" fillId="0" borderId="0" xfId="1" applyFont="1" applyFill="1"/>
    <xf numFmtId="43" fontId="0" fillId="4" borderId="1" xfId="2" applyNumberFormat="1" applyFont="1" applyFill="1" applyBorder="1" applyAlignment="1">
      <alignment horizontal="right" wrapText="1"/>
    </xf>
    <xf numFmtId="14" fontId="3" fillId="5" borderId="1" xfId="0" applyNumberFormat="1" applyFont="1" applyFill="1" applyBorder="1" applyAlignment="1">
      <alignment vertical="center" wrapText="1"/>
    </xf>
    <xf numFmtId="43" fontId="0" fillId="0" borderId="1" xfId="0" applyNumberFormat="1" applyBorder="1" applyAlignment="1">
      <alignment horizontal="right" wrapText="1"/>
    </xf>
    <xf numFmtId="0" fontId="0" fillId="0" borderId="0" xfId="1" applyNumberFormat="1" applyFont="1"/>
    <xf numFmtId="0" fontId="3" fillId="7" borderId="1" xfId="0" applyFont="1" applyFill="1" applyBorder="1" applyAlignment="1">
      <alignment wrapText="1"/>
    </xf>
    <xf numFmtId="43" fontId="0" fillId="4" borderId="1" xfId="0" applyNumberFormat="1" applyFill="1" applyBorder="1" applyAlignment="1">
      <alignment horizontal="right" wrapText="1"/>
    </xf>
    <xf numFmtId="0" fontId="5" fillId="0" borderId="0" xfId="0" applyFont="1"/>
    <xf numFmtId="43" fontId="5" fillId="0" borderId="0" xfId="0" applyNumberFormat="1" applyFont="1"/>
    <xf numFmtId="43" fontId="5" fillId="4" borderId="0" xfId="1" applyFon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0" fontId="0" fillId="0" borderId="0" xfId="0" applyAlignment="1">
      <alignment horizontal="right" wrapText="1"/>
    </xf>
    <xf numFmtId="0" fontId="0" fillId="8" borderId="1" xfId="0" applyFill="1" applyBorder="1" applyAlignment="1">
      <alignment wrapText="1"/>
    </xf>
    <xf numFmtId="0" fontId="0" fillId="0" borderId="0" xfId="0" applyAlignment="1">
      <alignment horizontal="center"/>
    </xf>
    <xf numFmtId="0" fontId="0" fillId="0" borderId="2" xfId="0" applyBorder="1" applyAlignment="1">
      <alignment wrapText="1"/>
    </xf>
    <xf numFmtId="164" fontId="0" fillId="0" borderId="0" xfId="1" applyNumberFormat="1" applyFont="1" applyFill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02"/>
  <sheetViews>
    <sheetView view="pageBreakPreview" topLeftCell="A90" zoomScale="77" zoomScaleNormal="100" zoomScaleSheetLayoutView="106" workbookViewId="0">
      <selection activeCell="C102" sqref="C102:I102"/>
    </sheetView>
  </sheetViews>
  <sheetFormatPr defaultRowHeight="14.4" x14ac:dyDescent="0.3"/>
  <cols>
    <col min="1" max="1" width="17.88671875" customWidth="1"/>
    <col min="2" max="2" width="35.5546875" customWidth="1"/>
    <col min="3" max="8" width="12.88671875" customWidth="1"/>
    <col min="9" max="9" width="18.33203125" style="12" customWidth="1"/>
    <col min="10" max="10" width="13.44140625" style="13" bestFit="1" customWidth="1"/>
    <col min="11" max="11" width="13.33203125" customWidth="1"/>
    <col min="12" max="12" width="14.44140625" customWidth="1"/>
    <col min="18" max="18" width="9.5546875" style="20" bestFit="1" customWidth="1"/>
  </cols>
  <sheetData>
    <row r="1" spans="1:15" ht="15" thickBot="1" x14ac:dyDescent="0.35">
      <c r="A1" s="18" t="s">
        <v>81</v>
      </c>
      <c r="B1" s="19" t="s">
        <v>1</v>
      </c>
      <c r="C1" s="35" t="s">
        <v>115</v>
      </c>
      <c r="D1" s="35"/>
      <c r="E1" s="35"/>
      <c r="F1" s="35"/>
      <c r="G1" s="35"/>
      <c r="H1" s="35"/>
      <c r="I1" s="35"/>
      <c r="J1" s="19" t="s">
        <v>4</v>
      </c>
      <c r="K1" s="16"/>
      <c r="L1" s="17"/>
      <c r="M1" s="17"/>
    </row>
    <row r="2" spans="1:15" ht="15" thickBot="1" x14ac:dyDescent="0.35">
      <c r="A2" s="21">
        <v>1</v>
      </c>
      <c r="B2" s="22" t="s">
        <v>5</v>
      </c>
      <c r="C2" s="23"/>
      <c r="D2" s="23"/>
      <c r="E2" s="23"/>
      <c r="F2" s="23"/>
      <c r="G2" s="23"/>
      <c r="H2" s="23"/>
      <c r="I2" s="23"/>
      <c r="J2" s="24" t="s">
        <v>82</v>
      </c>
      <c r="O2" s="32"/>
    </row>
    <row r="3" spans="1:15" ht="15" thickBot="1" x14ac:dyDescent="0.35">
      <c r="A3" s="26" t="s">
        <v>6</v>
      </c>
      <c r="B3" s="27" t="s">
        <v>7</v>
      </c>
      <c r="C3" s="36">
        <f>'Expence-22'!E3</f>
        <v>0</v>
      </c>
      <c r="D3" s="36">
        <f>'Expence-23'!E3</f>
        <v>0</v>
      </c>
      <c r="E3" s="36">
        <f>'Expence-24'!E3</f>
        <v>0</v>
      </c>
      <c r="F3" s="36">
        <f>'Expence-25'!E3</f>
        <v>0</v>
      </c>
      <c r="G3" s="36">
        <f>'Expence-26'!E3</f>
        <v>0</v>
      </c>
      <c r="H3" s="36">
        <f>'Expence-27'!E3</f>
        <v>0</v>
      </c>
      <c r="I3" s="36">
        <f>'Expence-28'!E3</f>
        <v>0</v>
      </c>
      <c r="J3" s="34">
        <f>SUM(C3:I3)</f>
        <v>0</v>
      </c>
      <c r="O3" s="32"/>
    </row>
    <row r="4" spans="1:15" ht="15" thickBot="1" x14ac:dyDescent="0.35">
      <c r="A4" s="26" t="s">
        <v>8</v>
      </c>
      <c r="B4" s="27" t="s">
        <v>9</v>
      </c>
      <c r="C4" s="36">
        <f>'Expence-22'!E4</f>
        <v>0</v>
      </c>
      <c r="D4" s="36">
        <f>'Expence-23'!E4</f>
        <v>0</v>
      </c>
      <c r="E4" s="36">
        <f>'Expence-24'!E4</f>
        <v>0</v>
      </c>
      <c r="F4" s="36">
        <f>'Expence-25'!E4</f>
        <v>0</v>
      </c>
      <c r="G4" s="36">
        <f>'Expence-26'!E4</f>
        <v>9400</v>
      </c>
      <c r="H4" s="36">
        <f>'Expence-27'!E4</f>
        <v>0</v>
      </c>
      <c r="I4" s="36">
        <f>'Expence-28'!E4</f>
        <v>9500</v>
      </c>
      <c r="J4" s="34">
        <f t="shared" ref="J4:J67" si="0">SUM(C4:I4)</f>
        <v>18900</v>
      </c>
    </row>
    <row r="5" spans="1:15" ht="15" thickBot="1" x14ac:dyDescent="0.35">
      <c r="A5" s="26" t="s">
        <v>10</v>
      </c>
      <c r="B5" s="27" t="s">
        <v>11</v>
      </c>
      <c r="C5" s="36">
        <f>'Expence-22'!E5</f>
        <v>0</v>
      </c>
      <c r="D5" s="36">
        <f>'Expence-23'!E5</f>
        <v>0</v>
      </c>
      <c r="E5" s="36">
        <f>'Expence-24'!E5</f>
        <v>0</v>
      </c>
      <c r="F5" s="36">
        <f>'Expence-25'!E5</f>
        <v>0</v>
      </c>
      <c r="G5" s="36">
        <f>'Expence-26'!E5</f>
        <v>7100</v>
      </c>
      <c r="H5" s="36">
        <f>'Expence-27'!E5</f>
        <v>0</v>
      </c>
      <c r="I5" s="36">
        <f>'Expence-28'!E5</f>
        <v>0</v>
      </c>
      <c r="J5" s="34">
        <f t="shared" si="0"/>
        <v>7100</v>
      </c>
    </row>
    <row r="6" spans="1:15" ht="15" thickBot="1" x14ac:dyDescent="0.35">
      <c r="A6" s="26" t="s">
        <v>12</v>
      </c>
      <c r="B6" s="27" t="s">
        <v>13</v>
      </c>
      <c r="C6" s="36">
        <f>'Expence-22'!E6</f>
        <v>0</v>
      </c>
      <c r="D6" s="36">
        <f>'Expence-23'!E6</f>
        <v>0</v>
      </c>
      <c r="E6" s="36">
        <f>'Expence-24'!E6</f>
        <v>0</v>
      </c>
      <c r="F6" s="36">
        <f>'Expence-25'!E6</f>
        <v>0</v>
      </c>
      <c r="G6" s="36">
        <f>'Expence-26'!E6</f>
        <v>8000</v>
      </c>
      <c r="H6" s="36">
        <f>'Expence-27'!E6</f>
        <v>0</v>
      </c>
      <c r="I6" s="36">
        <f>'Expence-28'!E6</f>
        <v>0</v>
      </c>
      <c r="J6" s="34">
        <f t="shared" si="0"/>
        <v>8000</v>
      </c>
    </row>
    <row r="7" spans="1:15" ht="15" thickBot="1" x14ac:dyDescent="0.35">
      <c r="A7" s="26" t="s">
        <v>14</v>
      </c>
      <c r="B7" s="27" t="s">
        <v>15</v>
      </c>
      <c r="C7" s="36">
        <f>'Expence-22'!E7</f>
        <v>0</v>
      </c>
      <c r="D7" s="36">
        <f>'Expence-23'!E7</f>
        <v>0</v>
      </c>
      <c r="E7" s="36">
        <f>'Expence-24'!E7</f>
        <v>0</v>
      </c>
      <c r="F7" s="36">
        <f>'Expence-25'!E7</f>
        <v>0</v>
      </c>
      <c r="G7" s="36">
        <f>'Expence-26'!E7</f>
        <v>0</v>
      </c>
      <c r="H7" s="36">
        <f>'Expence-27'!E7</f>
        <v>0</v>
      </c>
      <c r="I7" s="36">
        <f>'Expence-28'!E7</f>
        <v>0</v>
      </c>
      <c r="J7" s="34">
        <f t="shared" si="0"/>
        <v>0</v>
      </c>
    </row>
    <row r="8" spans="1:15" ht="15" thickBot="1" x14ac:dyDescent="0.35">
      <c r="A8" s="29"/>
      <c r="B8" s="27"/>
      <c r="C8" s="36">
        <f>'Expence-22'!E8</f>
        <v>0</v>
      </c>
      <c r="D8" s="36">
        <f>'Expence-23'!E8</f>
        <v>0</v>
      </c>
      <c r="E8" s="36">
        <f>'Expence-24'!E8</f>
        <v>0</v>
      </c>
      <c r="F8" s="36">
        <f>'Expence-25'!E8</f>
        <v>0</v>
      </c>
      <c r="G8" s="36">
        <f>'Expence-26'!E8</f>
        <v>0</v>
      </c>
      <c r="H8" s="36">
        <f>'Expence-27'!E8</f>
        <v>0</v>
      </c>
      <c r="I8" s="36">
        <f>'Expence-28'!E8</f>
        <v>0</v>
      </c>
      <c r="J8" s="34">
        <f t="shared" si="0"/>
        <v>0</v>
      </c>
    </row>
    <row r="9" spans="1:15" ht="15" thickBot="1" x14ac:dyDescent="0.35">
      <c r="A9" s="21">
        <v>2</v>
      </c>
      <c r="B9" s="38" t="s">
        <v>16</v>
      </c>
      <c r="C9" s="36">
        <f>'Expence-22'!E9</f>
        <v>0</v>
      </c>
      <c r="D9" s="36">
        <f>'Expence-23'!E9</f>
        <v>0</v>
      </c>
      <c r="E9" s="36">
        <f>'Expence-24'!E9</f>
        <v>0</v>
      </c>
      <c r="F9" s="36">
        <f>'Expence-25'!E9</f>
        <v>0</v>
      </c>
      <c r="G9" s="36">
        <f>'Expence-26'!E9</f>
        <v>0</v>
      </c>
      <c r="H9" s="36">
        <f>'Expence-27'!E9</f>
        <v>0</v>
      </c>
      <c r="I9" s="36">
        <f>'Expence-28'!E9</f>
        <v>0</v>
      </c>
      <c r="J9" s="34">
        <f t="shared" si="0"/>
        <v>0</v>
      </c>
    </row>
    <row r="10" spans="1:15" ht="15" thickBot="1" x14ac:dyDescent="0.35">
      <c r="A10" s="26" t="s">
        <v>6</v>
      </c>
      <c r="B10" s="27" t="s">
        <v>17</v>
      </c>
      <c r="C10" s="36">
        <f>'Expence-22'!E10</f>
        <v>0</v>
      </c>
      <c r="D10" s="36">
        <f>'Expence-23'!E10</f>
        <v>0</v>
      </c>
      <c r="E10" s="36">
        <f>'Expence-24'!E10</f>
        <v>0</v>
      </c>
      <c r="F10" s="36">
        <f>'Expence-25'!E10</f>
        <v>0</v>
      </c>
      <c r="G10" s="36">
        <f>'Expence-26'!E10</f>
        <v>3600</v>
      </c>
      <c r="H10" s="36">
        <f>'Expence-27'!E10</f>
        <v>0</v>
      </c>
      <c r="I10" s="36">
        <f>'Expence-28'!E10</f>
        <v>0</v>
      </c>
      <c r="J10" s="34">
        <f t="shared" si="0"/>
        <v>3600</v>
      </c>
    </row>
    <row r="11" spans="1:15" ht="15" thickBot="1" x14ac:dyDescent="0.35">
      <c r="A11" s="26" t="s">
        <v>8</v>
      </c>
      <c r="B11" s="27" t="s">
        <v>18</v>
      </c>
      <c r="C11" s="36">
        <f>'Expence-22'!E11</f>
        <v>0</v>
      </c>
      <c r="D11" s="36">
        <f>'Expence-23'!E11</f>
        <v>0</v>
      </c>
      <c r="E11" s="36">
        <f>'Expence-24'!E11</f>
        <v>0</v>
      </c>
      <c r="F11" s="36">
        <f>'Expence-25'!E11</f>
        <v>0</v>
      </c>
      <c r="G11" s="36">
        <f>'Expence-26'!E11</f>
        <v>0</v>
      </c>
      <c r="H11" s="36">
        <f>'Expence-27'!E11</f>
        <v>0</v>
      </c>
      <c r="I11" s="36">
        <f>'Expence-28'!E11</f>
        <v>0</v>
      </c>
      <c r="J11" s="34">
        <f t="shared" si="0"/>
        <v>0</v>
      </c>
      <c r="O11" s="32"/>
    </row>
    <row r="12" spans="1:15" ht="15" thickBot="1" x14ac:dyDescent="0.35">
      <c r="A12" s="26" t="s">
        <v>10</v>
      </c>
      <c r="B12" s="27" t="s">
        <v>19</v>
      </c>
      <c r="C12" s="36">
        <f>'Expence-22'!E12</f>
        <v>0</v>
      </c>
      <c r="D12" s="36">
        <f>'Expence-23'!E12</f>
        <v>0</v>
      </c>
      <c r="E12" s="36">
        <f>'Expence-24'!E12</f>
        <v>0</v>
      </c>
      <c r="F12" s="36">
        <f>'Expence-25'!E12</f>
        <v>0</v>
      </c>
      <c r="G12" s="36">
        <f>'Expence-26'!E12</f>
        <v>0</v>
      </c>
      <c r="H12" s="36">
        <f>'Expence-27'!E12</f>
        <v>0</v>
      </c>
      <c r="I12" s="36">
        <f>'Expence-28'!E12</f>
        <v>0</v>
      </c>
      <c r="J12" s="34">
        <f t="shared" si="0"/>
        <v>0</v>
      </c>
    </row>
    <row r="13" spans="1:15" ht="15" thickBot="1" x14ac:dyDescent="0.35">
      <c r="A13" s="26" t="s">
        <v>12</v>
      </c>
      <c r="B13" s="27" t="s">
        <v>20</v>
      </c>
      <c r="C13" s="36">
        <f>'Expence-22'!E13</f>
        <v>0</v>
      </c>
      <c r="D13" s="36">
        <f>'Expence-23'!E13</f>
        <v>0</v>
      </c>
      <c r="E13" s="36">
        <f>'Expence-24'!E13</f>
        <v>0</v>
      </c>
      <c r="F13" s="36">
        <f>'Expence-25'!E13</f>
        <v>0</v>
      </c>
      <c r="G13" s="36">
        <f>'Expence-26'!E13</f>
        <v>0</v>
      </c>
      <c r="H13" s="36">
        <f>'Expence-27'!E13</f>
        <v>0</v>
      </c>
      <c r="I13" s="36">
        <f>'Expence-28'!E13</f>
        <v>0</v>
      </c>
      <c r="J13" s="34">
        <f t="shared" si="0"/>
        <v>0</v>
      </c>
    </row>
    <row r="14" spans="1:15" ht="15" thickBot="1" x14ac:dyDescent="0.35">
      <c r="A14" s="26" t="s">
        <v>14</v>
      </c>
      <c r="B14" s="27" t="s">
        <v>21</v>
      </c>
      <c r="C14" s="36">
        <f>'Expence-22'!E14</f>
        <v>0</v>
      </c>
      <c r="D14" s="36">
        <f>'Expence-23'!E14</f>
        <v>0</v>
      </c>
      <c r="E14" s="36">
        <f>'Expence-24'!E14</f>
        <v>0</v>
      </c>
      <c r="F14" s="36">
        <f>'Expence-25'!E14</f>
        <v>0</v>
      </c>
      <c r="G14" s="36">
        <f>'Expence-26'!E14</f>
        <v>0</v>
      </c>
      <c r="H14" s="36">
        <f>'Expence-27'!E14</f>
        <v>0</v>
      </c>
      <c r="I14" s="36">
        <f>'Expence-28'!E14</f>
        <v>0</v>
      </c>
      <c r="J14" s="34">
        <f t="shared" si="0"/>
        <v>0</v>
      </c>
    </row>
    <row r="15" spans="1:15" ht="15" thickBot="1" x14ac:dyDescent="0.35">
      <c r="A15" s="26" t="s">
        <v>22</v>
      </c>
      <c r="B15" s="27" t="s">
        <v>23</v>
      </c>
      <c r="C15" s="36">
        <f>'Expence-22'!E15</f>
        <v>0</v>
      </c>
      <c r="D15" s="36">
        <f>'Expence-23'!E15</f>
        <v>0</v>
      </c>
      <c r="E15" s="36">
        <f>'Expence-24'!E15</f>
        <v>0</v>
      </c>
      <c r="F15" s="36">
        <f>'Expence-25'!E15</f>
        <v>0</v>
      </c>
      <c r="G15" s="36">
        <f>'Expence-26'!E15</f>
        <v>10100</v>
      </c>
      <c r="H15" s="36">
        <f>'Expence-27'!E15</f>
        <v>0</v>
      </c>
      <c r="I15" s="36">
        <f>'Expence-28'!E15</f>
        <v>0</v>
      </c>
      <c r="J15" s="34">
        <f t="shared" si="0"/>
        <v>10100</v>
      </c>
    </row>
    <row r="16" spans="1:15" ht="15" thickBot="1" x14ac:dyDescent="0.35">
      <c r="A16" s="26" t="s">
        <v>24</v>
      </c>
      <c r="B16" s="27" t="s">
        <v>25</v>
      </c>
      <c r="C16" s="36">
        <f>'Expence-22'!E16</f>
        <v>0</v>
      </c>
      <c r="D16" s="36">
        <f>'Expence-23'!E16</f>
        <v>0</v>
      </c>
      <c r="E16" s="36">
        <f>'Expence-24'!E16</f>
        <v>0</v>
      </c>
      <c r="F16" s="36">
        <f>'Expence-25'!E16</f>
        <v>0</v>
      </c>
      <c r="G16" s="36">
        <f>'Expence-26'!E16</f>
        <v>5200</v>
      </c>
      <c r="H16" s="36">
        <f>'Expence-27'!E16</f>
        <v>0</v>
      </c>
      <c r="I16" s="36">
        <f>'Expence-28'!E16</f>
        <v>0</v>
      </c>
      <c r="J16" s="34">
        <f t="shared" si="0"/>
        <v>5200</v>
      </c>
      <c r="O16" s="32"/>
    </row>
    <row r="17" spans="1:10" ht="15" thickBot="1" x14ac:dyDescent="0.35">
      <c r="A17" s="26" t="s">
        <v>26</v>
      </c>
      <c r="B17" s="27" t="s">
        <v>27</v>
      </c>
      <c r="C17" s="36">
        <f>'Expence-22'!E17</f>
        <v>0</v>
      </c>
      <c r="D17" s="36">
        <f>'Expence-23'!E17</f>
        <v>0</v>
      </c>
      <c r="E17" s="36">
        <f>'Expence-24'!E17</f>
        <v>0</v>
      </c>
      <c r="F17" s="36">
        <f>'Expence-25'!E17</f>
        <v>0</v>
      </c>
      <c r="G17" s="36">
        <f>'Expence-26'!E17</f>
        <v>0</v>
      </c>
      <c r="H17" s="36">
        <f>'Expence-27'!E17</f>
        <v>0</v>
      </c>
      <c r="I17" s="36">
        <f>'Expence-28'!E17</f>
        <v>0</v>
      </c>
      <c r="J17" s="34">
        <f t="shared" si="0"/>
        <v>0</v>
      </c>
    </row>
    <row r="18" spans="1:10" ht="15" thickBot="1" x14ac:dyDescent="0.35">
      <c r="A18" s="26" t="s">
        <v>28</v>
      </c>
      <c r="B18" s="27" t="s">
        <v>29</v>
      </c>
      <c r="C18" s="36">
        <f>'Expence-22'!E18</f>
        <v>0</v>
      </c>
      <c r="D18" s="36">
        <f>'Expence-23'!E18</f>
        <v>0</v>
      </c>
      <c r="E18" s="36">
        <f>'Expence-24'!E18</f>
        <v>0</v>
      </c>
      <c r="F18" s="36">
        <f>'Expence-25'!E18</f>
        <v>0</v>
      </c>
      <c r="G18" s="36">
        <f>'Expence-26'!E18</f>
        <v>2600</v>
      </c>
      <c r="H18" s="36">
        <f>'Expence-27'!E18</f>
        <v>0</v>
      </c>
      <c r="I18" s="36">
        <f>'Expence-28'!E18</f>
        <v>0</v>
      </c>
      <c r="J18" s="34">
        <f t="shared" si="0"/>
        <v>2600</v>
      </c>
    </row>
    <row r="19" spans="1:10" ht="15" thickBot="1" x14ac:dyDescent="0.35">
      <c r="A19" s="26" t="s">
        <v>30</v>
      </c>
      <c r="B19" s="27" t="s">
        <v>31</v>
      </c>
      <c r="C19" s="36">
        <f>'Expence-22'!E19</f>
        <v>0</v>
      </c>
      <c r="D19" s="36">
        <f>'Expence-23'!E19</f>
        <v>0</v>
      </c>
      <c r="E19" s="36">
        <f>'Expence-24'!E19</f>
        <v>0</v>
      </c>
      <c r="F19" s="36">
        <f>'Expence-25'!E19</f>
        <v>0</v>
      </c>
      <c r="G19" s="36">
        <f>'Expence-26'!E19</f>
        <v>9300</v>
      </c>
      <c r="H19" s="36">
        <f>'Expence-27'!E19</f>
        <v>0</v>
      </c>
      <c r="I19" s="36">
        <f>'Expence-28'!E19</f>
        <v>0</v>
      </c>
      <c r="J19" s="34">
        <f t="shared" si="0"/>
        <v>9300</v>
      </c>
    </row>
    <row r="20" spans="1:10" ht="15" thickBot="1" x14ac:dyDescent="0.35">
      <c r="A20" s="26" t="s">
        <v>32</v>
      </c>
      <c r="B20" s="27" t="s">
        <v>33</v>
      </c>
      <c r="C20" s="36">
        <f>'Expence-22'!E20</f>
        <v>0</v>
      </c>
      <c r="D20" s="36">
        <f>'Expence-23'!E20</f>
        <v>0</v>
      </c>
      <c r="E20" s="36">
        <f>'Expence-24'!E20</f>
        <v>0</v>
      </c>
      <c r="F20" s="36">
        <f>'Expence-25'!E20</f>
        <v>0</v>
      </c>
      <c r="G20" s="36">
        <f>'Expence-26'!E20</f>
        <v>0</v>
      </c>
      <c r="H20" s="36">
        <f>'Expence-27'!E20</f>
        <v>2200</v>
      </c>
      <c r="I20" s="36">
        <f>'Expence-28'!E20</f>
        <v>6000</v>
      </c>
      <c r="J20" s="34">
        <f t="shared" si="0"/>
        <v>8200</v>
      </c>
    </row>
    <row r="21" spans="1:10" ht="15" thickBot="1" x14ac:dyDescent="0.35">
      <c r="A21" s="26" t="s">
        <v>34</v>
      </c>
      <c r="B21" s="27" t="s">
        <v>35</v>
      </c>
      <c r="C21" s="36">
        <f>'Expence-22'!E21</f>
        <v>0</v>
      </c>
      <c r="D21" s="36">
        <f>'Expence-23'!E21</f>
        <v>0</v>
      </c>
      <c r="E21" s="36">
        <f>'Expence-24'!E21</f>
        <v>0</v>
      </c>
      <c r="F21" s="36">
        <f>'Expence-25'!E21</f>
        <v>0</v>
      </c>
      <c r="G21" s="36">
        <f>'Expence-26'!E21</f>
        <v>3000</v>
      </c>
      <c r="H21" s="36">
        <f>'Expence-27'!E21</f>
        <v>0</v>
      </c>
      <c r="I21" s="36">
        <f>'Expence-28'!E21</f>
        <v>0</v>
      </c>
      <c r="J21" s="34">
        <f t="shared" si="0"/>
        <v>3000</v>
      </c>
    </row>
    <row r="22" spans="1:10" ht="15" thickBot="1" x14ac:dyDescent="0.35">
      <c r="A22" s="26" t="s">
        <v>66</v>
      </c>
      <c r="B22" s="27" t="s">
        <v>91</v>
      </c>
      <c r="C22" s="36">
        <f>'Expence-22'!E22</f>
        <v>0</v>
      </c>
      <c r="D22" s="36">
        <f>'Expence-23'!E22</f>
        <v>0</v>
      </c>
      <c r="E22" s="36">
        <f>'Expence-24'!E22</f>
        <v>0</v>
      </c>
      <c r="F22" s="36">
        <f>'Expence-25'!E22</f>
        <v>0</v>
      </c>
      <c r="G22" s="36">
        <f>'Expence-26'!E22</f>
        <v>0</v>
      </c>
      <c r="H22" s="36">
        <f>'Expence-27'!E22</f>
        <v>0</v>
      </c>
      <c r="I22" s="36">
        <f>'Expence-28'!E22</f>
        <v>0</v>
      </c>
      <c r="J22" s="34">
        <f t="shared" si="0"/>
        <v>0</v>
      </c>
    </row>
    <row r="23" spans="1:10" ht="15" thickBot="1" x14ac:dyDescent="0.35">
      <c r="A23" s="26" t="s">
        <v>68</v>
      </c>
      <c r="B23" s="27" t="s">
        <v>92</v>
      </c>
      <c r="C23" s="36">
        <f>'Expence-22'!E23</f>
        <v>0</v>
      </c>
      <c r="D23" s="36">
        <f>'Expence-23'!E23</f>
        <v>0</v>
      </c>
      <c r="E23" s="36">
        <f>'Expence-24'!E23</f>
        <v>0</v>
      </c>
      <c r="F23" s="36">
        <f>'Expence-25'!E23</f>
        <v>0</v>
      </c>
      <c r="G23" s="36">
        <f>'Expence-26'!E23</f>
        <v>0</v>
      </c>
      <c r="H23" s="36">
        <f>'Expence-27'!E23</f>
        <v>0</v>
      </c>
      <c r="I23" s="36">
        <f>'Expence-28'!E23</f>
        <v>0</v>
      </c>
      <c r="J23" s="34">
        <f t="shared" si="0"/>
        <v>0</v>
      </c>
    </row>
    <row r="24" spans="1:10" ht="15" thickBot="1" x14ac:dyDescent="0.35">
      <c r="A24" s="26" t="s">
        <v>70</v>
      </c>
      <c r="B24" s="27" t="s">
        <v>94</v>
      </c>
      <c r="C24" s="36">
        <f>'Expence-22'!E24</f>
        <v>0</v>
      </c>
      <c r="D24" s="36">
        <f>'Expence-23'!E24</f>
        <v>0</v>
      </c>
      <c r="E24" s="36">
        <f>'Expence-24'!E24</f>
        <v>0</v>
      </c>
      <c r="F24" s="36">
        <f>'Expence-25'!E24</f>
        <v>0</v>
      </c>
      <c r="G24" s="36">
        <f>'Expence-26'!E24</f>
        <v>0</v>
      </c>
      <c r="H24" s="36">
        <f>'Expence-27'!E24</f>
        <v>0</v>
      </c>
      <c r="I24" s="36">
        <f>'Expence-28'!E24</f>
        <v>0</v>
      </c>
      <c r="J24" s="34">
        <f t="shared" si="0"/>
        <v>0</v>
      </c>
    </row>
    <row r="25" spans="1:10" ht="15" thickBot="1" x14ac:dyDescent="0.35">
      <c r="A25" s="26" t="s">
        <v>72</v>
      </c>
      <c r="B25" s="27" t="s">
        <v>93</v>
      </c>
      <c r="C25" s="36">
        <f>'Expence-22'!E25</f>
        <v>0</v>
      </c>
      <c r="D25" s="36">
        <f>'Expence-23'!E25</f>
        <v>0</v>
      </c>
      <c r="E25" s="36">
        <f>'Expence-24'!E25</f>
        <v>0</v>
      </c>
      <c r="F25" s="36">
        <f>'Expence-25'!E25</f>
        <v>0</v>
      </c>
      <c r="G25" s="36">
        <f>'Expence-26'!E25</f>
        <v>0</v>
      </c>
      <c r="H25" s="36">
        <f>'Expence-27'!E25</f>
        <v>0</v>
      </c>
      <c r="I25" s="36">
        <f>'Expence-28'!E25</f>
        <v>0</v>
      </c>
      <c r="J25" s="34">
        <f t="shared" si="0"/>
        <v>0</v>
      </c>
    </row>
    <row r="26" spans="1:10" ht="15" thickBot="1" x14ac:dyDescent="0.35">
      <c r="A26" s="29"/>
      <c r="B26" s="27"/>
      <c r="C26" s="36">
        <f>'Expence-22'!E26</f>
        <v>0</v>
      </c>
      <c r="D26" s="36">
        <f>'Expence-23'!E26</f>
        <v>0</v>
      </c>
      <c r="E26" s="36">
        <f>'Expence-24'!E26</f>
        <v>0</v>
      </c>
      <c r="F26" s="36">
        <f>'Expence-25'!E26</f>
        <v>0</v>
      </c>
      <c r="G26" s="36">
        <f>'Expence-26'!E26</f>
        <v>0</v>
      </c>
      <c r="H26" s="36">
        <f>'Expence-27'!E26</f>
        <v>0</v>
      </c>
      <c r="I26" s="36">
        <f>'Expence-28'!E26</f>
        <v>0</v>
      </c>
      <c r="J26" s="34">
        <f t="shared" si="0"/>
        <v>0</v>
      </c>
    </row>
    <row r="27" spans="1:10" ht="15" thickBot="1" x14ac:dyDescent="0.35">
      <c r="A27" s="21">
        <v>3</v>
      </c>
      <c r="B27" s="22" t="s">
        <v>36</v>
      </c>
      <c r="C27" s="36">
        <f>'Expence-22'!E27</f>
        <v>0</v>
      </c>
      <c r="D27" s="36">
        <f>'Expence-23'!E27</f>
        <v>0</v>
      </c>
      <c r="E27" s="36">
        <f>'Expence-24'!E27</f>
        <v>0</v>
      </c>
      <c r="F27" s="36">
        <f>'Expence-25'!E27</f>
        <v>0</v>
      </c>
      <c r="G27" s="36">
        <f>'Expence-26'!E27</f>
        <v>0</v>
      </c>
      <c r="H27" s="36">
        <f>'Expence-27'!E27</f>
        <v>0</v>
      </c>
      <c r="I27" s="36">
        <f>'Expence-28'!E27</f>
        <v>0</v>
      </c>
      <c r="J27" s="34">
        <f t="shared" si="0"/>
        <v>0</v>
      </c>
    </row>
    <row r="28" spans="1:10" ht="15" thickBot="1" x14ac:dyDescent="0.35">
      <c r="A28" s="26" t="s">
        <v>6</v>
      </c>
      <c r="B28" s="27" t="s">
        <v>37</v>
      </c>
      <c r="C28" s="36">
        <f>'Expence-22'!E28</f>
        <v>0</v>
      </c>
      <c r="D28" s="36">
        <f>'Expence-23'!E28</f>
        <v>5000</v>
      </c>
      <c r="E28" s="36">
        <f>'Expence-24'!E28</f>
        <v>0</v>
      </c>
      <c r="F28" s="36">
        <f>'Expence-25'!E28</f>
        <v>5000</v>
      </c>
      <c r="G28" s="36">
        <f>'Expence-26'!E28</f>
        <v>5000</v>
      </c>
      <c r="H28" s="36">
        <f>'Expence-27'!E28</f>
        <v>50000</v>
      </c>
      <c r="I28" s="36">
        <f>'Expence-28'!E28</f>
        <v>0</v>
      </c>
      <c r="J28" s="34">
        <f t="shared" si="0"/>
        <v>65000</v>
      </c>
    </row>
    <row r="29" spans="1:10" ht="15" thickBot="1" x14ac:dyDescent="0.35">
      <c r="A29" s="26" t="s">
        <v>8</v>
      </c>
      <c r="B29" s="27" t="s">
        <v>38</v>
      </c>
      <c r="C29" s="36">
        <f>'Expence-22'!E29</f>
        <v>0</v>
      </c>
      <c r="D29" s="36">
        <f>'Expence-23'!E29</f>
        <v>20000</v>
      </c>
      <c r="E29" s="36">
        <f>'Expence-24'!E29</f>
        <v>0</v>
      </c>
      <c r="F29" s="36">
        <f>'Expence-25'!E29</f>
        <v>0</v>
      </c>
      <c r="G29" s="36">
        <f>'Expence-26'!E29</f>
        <v>27000</v>
      </c>
      <c r="H29" s="36">
        <f>'Expence-27'!E29</f>
        <v>0</v>
      </c>
      <c r="I29" s="36">
        <f>'Expence-28'!E29</f>
        <v>27000</v>
      </c>
      <c r="J29" s="34">
        <f t="shared" si="0"/>
        <v>74000</v>
      </c>
    </row>
    <row r="30" spans="1:10" ht="15" thickBot="1" x14ac:dyDescent="0.35">
      <c r="A30" s="26" t="s">
        <v>10</v>
      </c>
      <c r="B30" s="27" t="s">
        <v>39</v>
      </c>
      <c r="C30" s="36">
        <f>'Expence-22'!E30</f>
        <v>0</v>
      </c>
      <c r="D30" s="36">
        <f>'Expence-23'!E30</f>
        <v>0</v>
      </c>
      <c r="E30" s="36">
        <f>'Expence-24'!E30</f>
        <v>0</v>
      </c>
      <c r="F30" s="36">
        <f>'Expence-25'!E30</f>
        <v>0</v>
      </c>
      <c r="G30" s="36">
        <f>'Expence-26'!E30</f>
        <v>0</v>
      </c>
      <c r="H30" s="36">
        <f>'Expence-27'!E30</f>
        <v>0</v>
      </c>
      <c r="I30" s="36">
        <f>'Expence-28'!E30</f>
        <v>0</v>
      </c>
      <c r="J30" s="34">
        <f t="shared" si="0"/>
        <v>0</v>
      </c>
    </row>
    <row r="31" spans="1:10" ht="15" thickBot="1" x14ac:dyDescent="0.35">
      <c r="A31" s="26" t="s">
        <v>12</v>
      </c>
      <c r="B31" s="27" t="s">
        <v>40</v>
      </c>
      <c r="C31" s="36">
        <f>'Expence-22'!E31</f>
        <v>0</v>
      </c>
      <c r="D31" s="36">
        <f>'Expence-23'!E31</f>
        <v>0</v>
      </c>
      <c r="E31" s="36">
        <f>'Expence-24'!E31</f>
        <v>0</v>
      </c>
      <c r="F31" s="36">
        <f>'Expence-25'!E31</f>
        <v>0</v>
      </c>
      <c r="G31" s="36">
        <f>'Expence-26'!E31</f>
        <v>0</v>
      </c>
      <c r="H31" s="36">
        <f>'Expence-27'!E31</f>
        <v>0</v>
      </c>
      <c r="I31" s="36">
        <f>'Expence-28'!E31</f>
        <v>0</v>
      </c>
      <c r="J31" s="34">
        <f t="shared" si="0"/>
        <v>0</v>
      </c>
    </row>
    <row r="32" spans="1:10" ht="15" thickBot="1" x14ac:dyDescent="0.35">
      <c r="A32" s="26" t="s">
        <v>14</v>
      </c>
      <c r="B32" s="27" t="s">
        <v>41</v>
      </c>
      <c r="C32" s="36">
        <f>'Expence-22'!E32</f>
        <v>0</v>
      </c>
      <c r="D32" s="36">
        <f>'Expence-23'!E32</f>
        <v>0</v>
      </c>
      <c r="E32" s="36">
        <f>'Expence-24'!E32</f>
        <v>0</v>
      </c>
      <c r="F32" s="36">
        <f>'Expence-25'!E32</f>
        <v>0</v>
      </c>
      <c r="G32" s="36">
        <f>'Expence-26'!E32</f>
        <v>0</v>
      </c>
      <c r="H32" s="36">
        <f>'Expence-27'!E32</f>
        <v>0</v>
      </c>
      <c r="I32" s="36">
        <f>'Expence-28'!E32</f>
        <v>0</v>
      </c>
      <c r="J32" s="34">
        <f t="shared" si="0"/>
        <v>0</v>
      </c>
    </row>
    <row r="33" spans="1:18" ht="15" thickBot="1" x14ac:dyDescent="0.35">
      <c r="A33" s="26" t="s">
        <v>22</v>
      </c>
      <c r="B33" s="27" t="s">
        <v>42</v>
      </c>
      <c r="C33" s="36">
        <f>'Expence-22'!E33</f>
        <v>0</v>
      </c>
      <c r="D33" s="36">
        <f>'Expence-23'!E33</f>
        <v>0</v>
      </c>
      <c r="E33" s="36">
        <f>'Expence-24'!E33</f>
        <v>0</v>
      </c>
      <c r="F33" s="36">
        <f>'Expence-25'!E33</f>
        <v>0</v>
      </c>
      <c r="G33" s="36">
        <f>'Expence-26'!E33</f>
        <v>0</v>
      </c>
      <c r="H33" s="36">
        <f>'Expence-27'!E33</f>
        <v>6500</v>
      </c>
      <c r="I33" s="36">
        <f>'Expence-28'!E33</f>
        <v>0</v>
      </c>
      <c r="J33" s="34">
        <f t="shared" si="0"/>
        <v>6500</v>
      </c>
      <c r="O33" s="32"/>
    </row>
    <row r="34" spans="1:18" ht="15" thickBot="1" x14ac:dyDescent="0.35">
      <c r="A34" s="26" t="s">
        <v>24</v>
      </c>
      <c r="B34" s="27" t="s">
        <v>83</v>
      </c>
      <c r="C34" s="36">
        <f>'Expence-22'!E34</f>
        <v>0</v>
      </c>
      <c r="D34" s="36">
        <f>'Expence-23'!E34</f>
        <v>0</v>
      </c>
      <c r="E34" s="36">
        <f>'Expence-24'!E34</f>
        <v>0</v>
      </c>
      <c r="F34" s="36">
        <f>'Expence-25'!E34</f>
        <v>0</v>
      </c>
      <c r="G34" s="36">
        <f>'Expence-26'!E34</f>
        <v>0</v>
      </c>
      <c r="H34" s="36">
        <f>'Expence-27'!E34</f>
        <v>0</v>
      </c>
      <c r="I34" s="36">
        <f>'Expence-28'!E34</f>
        <v>0</v>
      </c>
      <c r="J34" s="34">
        <f t="shared" si="0"/>
        <v>0</v>
      </c>
      <c r="O34" s="32"/>
    </row>
    <row r="35" spans="1:18" ht="15" thickBot="1" x14ac:dyDescent="0.35">
      <c r="A35" s="26" t="s">
        <v>26</v>
      </c>
      <c r="B35" s="27" t="s">
        <v>43</v>
      </c>
      <c r="C35" s="36">
        <f>'Expence-22'!E35</f>
        <v>0</v>
      </c>
      <c r="D35" s="36">
        <f>'Expence-23'!E35</f>
        <v>0</v>
      </c>
      <c r="E35" s="36">
        <f>'Expence-24'!E35</f>
        <v>0</v>
      </c>
      <c r="F35" s="36">
        <f>'Expence-25'!E35</f>
        <v>0</v>
      </c>
      <c r="G35" s="36">
        <f>'Expence-26'!E35</f>
        <v>0</v>
      </c>
      <c r="H35" s="36">
        <f>'Expence-27'!E35</f>
        <v>0</v>
      </c>
      <c r="I35" s="36">
        <f>'Expence-28'!E35</f>
        <v>0</v>
      </c>
      <c r="J35" s="34">
        <f t="shared" si="0"/>
        <v>0</v>
      </c>
      <c r="O35" s="32"/>
      <c r="R35"/>
    </row>
    <row r="36" spans="1:18" ht="15" thickBot="1" x14ac:dyDescent="0.35">
      <c r="A36" s="11" t="s">
        <v>28</v>
      </c>
      <c r="B36" t="s">
        <v>89</v>
      </c>
      <c r="C36" s="36">
        <f>'Expence-22'!E36</f>
        <v>0</v>
      </c>
      <c r="D36" s="36">
        <f>'Expence-23'!E36</f>
        <v>0</v>
      </c>
      <c r="E36" s="36">
        <f>'Expence-24'!E36</f>
        <v>0</v>
      </c>
      <c r="F36" s="36">
        <f>'Expence-25'!E36</f>
        <v>0</v>
      </c>
      <c r="G36" s="36">
        <f>'Expence-26'!E36</f>
        <v>0</v>
      </c>
      <c r="H36" s="36">
        <f>'Expence-27'!E36</f>
        <v>0</v>
      </c>
      <c r="I36" s="36">
        <f>'Expence-28'!E36</f>
        <v>0</v>
      </c>
      <c r="J36" s="34">
        <f t="shared" si="0"/>
        <v>0</v>
      </c>
      <c r="O36" s="32"/>
      <c r="R36"/>
    </row>
    <row r="37" spans="1:18" ht="15" thickBot="1" x14ac:dyDescent="0.35">
      <c r="A37" s="11" t="s">
        <v>30</v>
      </c>
      <c r="B37" t="s">
        <v>90</v>
      </c>
      <c r="C37" s="36">
        <f>'Expence-22'!E37</f>
        <v>0</v>
      </c>
      <c r="D37" s="36">
        <f>'Expence-23'!E37</f>
        <v>0</v>
      </c>
      <c r="E37" s="36">
        <f>'Expence-24'!E37</f>
        <v>0</v>
      </c>
      <c r="F37" s="36">
        <f>'Expence-25'!E37</f>
        <v>0</v>
      </c>
      <c r="G37" s="36">
        <f>'Expence-26'!E37</f>
        <v>19500</v>
      </c>
      <c r="H37" s="36">
        <f>'Expence-27'!E37</f>
        <v>0</v>
      </c>
      <c r="I37" s="36">
        <f>'Expence-28'!E37</f>
        <v>0</v>
      </c>
      <c r="J37" s="34">
        <f t="shared" si="0"/>
        <v>19500</v>
      </c>
      <c r="O37" s="32"/>
      <c r="R37"/>
    </row>
    <row r="38" spans="1:18" ht="15" thickBot="1" x14ac:dyDescent="0.35">
      <c r="A38" s="11" t="s">
        <v>32</v>
      </c>
      <c r="B38" s="49" t="s">
        <v>95</v>
      </c>
      <c r="C38" s="36">
        <f>'Expence-22'!E38</f>
        <v>0</v>
      </c>
      <c r="D38" s="36">
        <f>'Expence-23'!E38</f>
        <v>0</v>
      </c>
      <c r="E38" s="36">
        <f>'Expence-24'!E38</f>
        <v>0</v>
      </c>
      <c r="F38" s="36">
        <f>'Expence-25'!E38</f>
        <v>0</v>
      </c>
      <c r="G38" s="36">
        <f>'Expence-26'!E38</f>
        <v>0</v>
      </c>
      <c r="H38" s="36">
        <f>'Expence-27'!E38</f>
        <v>4200</v>
      </c>
      <c r="I38" s="36">
        <f>'Expence-28'!E38</f>
        <v>0</v>
      </c>
      <c r="J38" s="34">
        <f t="shared" si="0"/>
        <v>4200</v>
      </c>
      <c r="O38" s="32"/>
      <c r="R38"/>
    </row>
    <row r="39" spans="1:18" ht="15" thickBot="1" x14ac:dyDescent="0.35">
      <c r="A39" s="11" t="s">
        <v>34</v>
      </c>
      <c r="B39" s="49" t="s">
        <v>114</v>
      </c>
      <c r="C39" s="36">
        <f>'Expence-22'!E39</f>
        <v>0</v>
      </c>
      <c r="D39" s="36">
        <f>'Expence-23'!E39</f>
        <v>0</v>
      </c>
      <c r="E39" s="36">
        <f>'Expence-24'!E39</f>
        <v>0</v>
      </c>
      <c r="F39" s="36">
        <f>'Expence-25'!E39</f>
        <v>0</v>
      </c>
      <c r="G39" s="36">
        <f>'Expence-26'!E39</f>
        <v>0</v>
      </c>
      <c r="H39" s="36">
        <f>'Expence-27'!E39</f>
        <v>3000</v>
      </c>
      <c r="I39" s="36">
        <f>'Expence-28'!E39</f>
        <v>0</v>
      </c>
      <c r="J39" s="34">
        <f t="shared" si="0"/>
        <v>3000</v>
      </c>
      <c r="O39" s="32"/>
      <c r="R39"/>
    </row>
    <row r="40" spans="1:18" ht="15" thickBot="1" x14ac:dyDescent="0.35">
      <c r="A40" s="27"/>
      <c r="B40" s="27"/>
      <c r="C40" s="36">
        <f>'Expence-22'!E40</f>
        <v>0</v>
      </c>
      <c r="D40" s="36">
        <f>'Expence-23'!E40</f>
        <v>0</v>
      </c>
      <c r="E40" s="36">
        <f>'Expence-24'!E40</f>
        <v>0</v>
      </c>
      <c r="F40" s="36">
        <f>'Expence-25'!E40</f>
        <v>0</v>
      </c>
      <c r="G40" s="36">
        <f>'Expence-26'!E40</f>
        <v>0</v>
      </c>
      <c r="H40" s="36">
        <f>'Expence-27'!E40</f>
        <v>0</v>
      </c>
      <c r="I40" s="36">
        <f>'Expence-28'!E40</f>
        <v>0</v>
      </c>
      <c r="J40" s="34">
        <f t="shared" si="0"/>
        <v>0</v>
      </c>
      <c r="R40"/>
    </row>
    <row r="41" spans="1:18" ht="15" thickBot="1" x14ac:dyDescent="0.35">
      <c r="A41" s="21">
        <v>4</v>
      </c>
      <c r="B41" s="22" t="s">
        <v>44</v>
      </c>
      <c r="C41" s="36">
        <f>'Expence-22'!E41</f>
        <v>0</v>
      </c>
      <c r="D41" s="36">
        <f>'Expence-23'!E41</f>
        <v>0</v>
      </c>
      <c r="E41" s="36">
        <f>'Expence-24'!E41</f>
        <v>0</v>
      </c>
      <c r="F41" s="36">
        <f>'Expence-25'!E41</f>
        <v>0</v>
      </c>
      <c r="G41" s="36">
        <f>'Expence-26'!E41</f>
        <v>0</v>
      </c>
      <c r="H41" s="36">
        <f>'Expence-27'!E41</f>
        <v>0</v>
      </c>
      <c r="I41" s="36">
        <f>'Expence-28'!E41</f>
        <v>0</v>
      </c>
      <c r="J41" s="34">
        <f t="shared" si="0"/>
        <v>0</v>
      </c>
      <c r="R41"/>
    </row>
    <row r="42" spans="1:18" ht="15" thickBot="1" x14ac:dyDescent="0.35">
      <c r="A42" s="26" t="s">
        <v>6</v>
      </c>
      <c r="B42" s="27" t="s">
        <v>45</v>
      </c>
      <c r="C42" s="36">
        <f>'Expence-22'!E42</f>
        <v>0</v>
      </c>
      <c r="D42" s="36">
        <f>'Expence-23'!E42</f>
        <v>0</v>
      </c>
      <c r="E42" s="36">
        <f>'Expence-24'!E42</f>
        <v>0</v>
      </c>
      <c r="F42" s="36">
        <f>'Expence-25'!E42</f>
        <v>0</v>
      </c>
      <c r="G42" s="36">
        <f>'Expence-26'!E42</f>
        <v>0</v>
      </c>
      <c r="H42" s="36">
        <f>'Expence-27'!E42</f>
        <v>0</v>
      </c>
      <c r="I42" s="36">
        <f>'Expence-28'!E42</f>
        <v>0</v>
      </c>
      <c r="J42" s="34">
        <f t="shared" si="0"/>
        <v>0</v>
      </c>
      <c r="R42"/>
    </row>
    <row r="43" spans="1:18" ht="15" thickBot="1" x14ac:dyDescent="0.35">
      <c r="A43" s="26" t="s">
        <v>8</v>
      </c>
      <c r="B43" s="27" t="s">
        <v>46</v>
      </c>
      <c r="C43" s="36">
        <f>'Expence-22'!E43</f>
        <v>0</v>
      </c>
      <c r="D43" s="36">
        <f>'Expence-23'!E43</f>
        <v>0</v>
      </c>
      <c r="E43" s="36">
        <f>'Expence-24'!E43</f>
        <v>0</v>
      </c>
      <c r="F43" s="36">
        <f>'Expence-25'!E43</f>
        <v>0</v>
      </c>
      <c r="G43" s="36">
        <f>'Expence-26'!E43</f>
        <v>0</v>
      </c>
      <c r="H43" s="36">
        <f>'Expence-27'!E43</f>
        <v>0</v>
      </c>
      <c r="I43" s="36">
        <f>'Expence-28'!E43</f>
        <v>0</v>
      </c>
      <c r="J43" s="34">
        <f t="shared" si="0"/>
        <v>0</v>
      </c>
      <c r="R43"/>
    </row>
    <row r="44" spans="1:18" ht="15" thickBot="1" x14ac:dyDescent="0.35">
      <c r="A44" s="26" t="s">
        <v>10</v>
      </c>
      <c r="B44" s="27" t="s">
        <v>47</v>
      </c>
      <c r="C44" s="36">
        <f>'Expence-22'!E44</f>
        <v>0</v>
      </c>
      <c r="D44" s="36">
        <f>'Expence-23'!E44</f>
        <v>0</v>
      </c>
      <c r="E44" s="36">
        <f>'Expence-24'!E44</f>
        <v>0</v>
      </c>
      <c r="F44" s="36">
        <f>'Expence-25'!E44</f>
        <v>0</v>
      </c>
      <c r="G44" s="36">
        <f>'Expence-26'!E44</f>
        <v>0</v>
      </c>
      <c r="H44" s="36">
        <f>'Expence-27'!E44</f>
        <v>0</v>
      </c>
      <c r="I44" s="36">
        <f>'Expence-28'!E44</f>
        <v>0</v>
      </c>
      <c r="J44" s="34">
        <f t="shared" si="0"/>
        <v>0</v>
      </c>
      <c r="R44"/>
    </row>
    <row r="45" spans="1:18" ht="15" thickBot="1" x14ac:dyDescent="0.35">
      <c r="A45" s="26" t="s">
        <v>12</v>
      </c>
      <c r="B45" s="27" t="s">
        <v>48</v>
      </c>
      <c r="C45" s="36">
        <f>'Expence-22'!E45</f>
        <v>0</v>
      </c>
      <c r="D45" s="36">
        <f>'Expence-23'!E45</f>
        <v>0</v>
      </c>
      <c r="E45" s="36">
        <f>'Expence-24'!E45</f>
        <v>0</v>
      </c>
      <c r="F45" s="36">
        <f>'Expence-25'!E45</f>
        <v>0</v>
      </c>
      <c r="G45" s="36">
        <f>'Expence-26'!E45</f>
        <v>0</v>
      </c>
      <c r="H45" s="36">
        <f>'Expence-27'!E45</f>
        <v>0</v>
      </c>
      <c r="I45" s="36">
        <f>'Expence-28'!E45</f>
        <v>0</v>
      </c>
      <c r="J45" s="34">
        <f t="shared" si="0"/>
        <v>0</v>
      </c>
      <c r="R45"/>
    </row>
    <row r="46" spans="1:18" ht="15" thickBot="1" x14ac:dyDescent="0.35">
      <c r="A46" s="26" t="s">
        <v>14</v>
      </c>
      <c r="B46" s="27" t="s">
        <v>49</v>
      </c>
      <c r="C46" s="36">
        <f>'Expence-22'!E46</f>
        <v>0</v>
      </c>
      <c r="D46" s="36">
        <f>'Expence-23'!E46</f>
        <v>0</v>
      </c>
      <c r="E46" s="36">
        <f>'Expence-24'!E46</f>
        <v>0</v>
      </c>
      <c r="F46" s="36">
        <f>'Expence-25'!E46</f>
        <v>0</v>
      </c>
      <c r="G46" s="36">
        <f>'Expence-26'!E46</f>
        <v>0</v>
      </c>
      <c r="H46" s="36">
        <f>'Expence-27'!E46</f>
        <v>0</v>
      </c>
      <c r="I46" s="36">
        <f>'Expence-28'!E46</f>
        <v>0</v>
      </c>
      <c r="J46" s="34">
        <f t="shared" si="0"/>
        <v>0</v>
      </c>
      <c r="R46"/>
    </row>
    <row r="47" spans="1:18" ht="15" thickBot="1" x14ac:dyDescent="0.35">
      <c r="A47" s="27"/>
      <c r="B47" s="27"/>
      <c r="C47" s="36">
        <f>'Expence-22'!E47</f>
        <v>0</v>
      </c>
      <c r="D47" s="36">
        <f>'Expence-23'!E47</f>
        <v>0</v>
      </c>
      <c r="E47" s="36">
        <f>'Expence-24'!E47</f>
        <v>0</v>
      </c>
      <c r="F47" s="36">
        <f>'Expence-25'!E47</f>
        <v>0</v>
      </c>
      <c r="G47" s="36">
        <f>'Expence-26'!E47</f>
        <v>0</v>
      </c>
      <c r="H47" s="36">
        <f>'Expence-27'!E47</f>
        <v>0</v>
      </c>
      <c r="I47" s="36">
        <f>'Expence-28'!E47</f>
        <v>0</v>
      </c>
      <c r="J47" s="34">
        <f t="shared" si="0"/>
        <v>0</v>
      </c>
      <c r="R47"/>
    </row>
    <row r="48" spans="1:18" ht="15" thickBot="1" x14ac:dyDescent="0.35">
      <c r="A48" s="21">
        <v>5</v>
      </c>
      <c r="B48" s="22" t="s">
        <v>50</v>
      </c>
      <c r="C48" s="36">
        <f>'Expence-22'!E48</f>
        <v>0</v>
      </c>
      <c r="D48" s="36">
        <f>'Expence-23'!E48</f>
        <v>0</v>
      </c>
      <c r="E48" s="36">
        <f>'Expence-24'!E48</f>
        <v>0</v>
      </c>
      <c r="F48" s="36">
        <f>'Expence-25'!E48</f>
        <v>0</v>
      </c>
      <c r="G48" s="36">
        <f>'Expence-26'!E48</f>
        <v>0</v>
      </c>
      <c r="H48" s="36">
        <f>'Expence-27'!E48</f>
        <v>0</v>
      </c>
      <c r="I48" s="36">
        <f>'Expence-28'!E48</f>
        <v>0</v>
      </c>
      <c r="J48" s="34">
        <f t="shared" si="0"/>
        <v>0</v>
      </c>
      <c r="R48"/>
    </row>
    <row r="49" spans="1:18" ht="15" thickBot="1" x14ac:dyDescent="0.35">
      <c r="A49" s="26" t="s">
        <v>6</v>
      </c>
      <c r="B49" s="27" t="s">
        <v>51</v>
      </c>
      <c r="C49" s="36">
        <f>'Expence-22'!E49</f>
        <v>0</v>
      </c>
      <c r="D49" s="36">
        <f>'Expence-23'!E49</f>
        <v>0</v>
      </c>
      <c r="E49" s="36">
        <f>'Expence-24'!E49</f>
        <v>0</v>
      </c>
      <c r="F49" s="36">
        <f>'Expence-25'!E49</f>
        <v>0</v>
      </c>
      <c r="G49" s="36">
        <f>'Expence-26'!E49</f>
        <v>0</v>
      </c>
      <c r="H49" s="36">
        <f>'Expence-27'!E49</f>
        <v>0</v>
      </c>
      <c r="I49" s="36">
        <f>'Expence-28'!E49</f>
        <v>0</v>
      </c>
      <c r="J49" s="34">
        <f t="shared" si="0"/>
        <v>0</v>
      </c>
      <c r="R49"/>
    </row>
    <row r="50" spans="1:18" ht="15" thickBot="1" x14ac:dyDescent="0.35">
      <c r="A50" s="26" t="s">
        <v>8</v>
      </c>
      <c r="B50" s="27" t="s">
        <v>52</v>
      </c>
      <c r="C50" s="36">
        <f>'Expence-22'!E50</f>
        <v>0</v>
      </c>
      <c r="D50" s="36">
        <f>'Expence-23'!E50</f>
        <v>0</v>
      </c>
      <c r="E50" s="36">
        <f>'Expence-24'!E50</f>
        <v>0</v>
      </c>
      <c r="F50" s="36">
        <f>'Expence-25'!E50</f>
        <v>0</v>
      </c>
      <c r="G50" s="36">
        <f>'Expence-26'!E50</f>
        <v>0</v>
      </c>
      <c r="H50" s="36">
        <f>'Expence-27'!E50</f>
        <v>0</v>
      </c>
      <c r="I50" s="36">
        <f>'Expence-28'!E50</f>
        <v>0</v>
      </c>
      <c r="J50" s="34">
        <f t="shared" si="0"/>
        <v>0</v>
      </c>
      <c r="R50"/>
    </row>
    <row r="51" spans="1:18" ht="15" thickBot="1" x14ac:dyDescent="0.35">
      <c r="A51" s="29"/>
      <c r="B51" s="27"/>
      <c r="C51" s="36">
        <f>'Expence-22'!E51</f>
        <v>0</v>
      </c>
      <c r="D51" s="36">
        <f>'Expence-23'!E51</f>
        <v>0</v>
      </c>
      <c r="E51" s="36">
        <f>'Expence-24'!E51</f>
        <v>0</v>
      </c>
      <c r="F51" s="36">
        <f>'Expence-25'!E51</f>
        <v>0</v>
      </c>
      <c r="G51" s="36">
        <f>'Expence-26'!E51</f>
        <v>0</v>
      </c>
      <c r="H51" s="36">
        <f>'Expence-27'!E51</f>
        <v>0</v>
      </c>
      <c r="I51" s="36">
        <f>'Expence-28'!E51</f>
        <v>0</v>
      </c>
      <c r="J51" s="34">
        <f t="shared" si="0"/>
        <v>0</v>
      </c>
      <c r="R51"/>
    </row>
    <row r="52" spans="1:18" ht="15" thickBot="1" x14ac:dyDescent="0.35">
      <c r="A52" s="21">
        <v>6</v>
      </c>
      <c r="B52" s="22" t="s">
        <v>53</v>
      </c>
      <c r="C52" s="36">
        <f>'Expence-22'!E52</f>
        <v>0</v>
      </c>
      <c r="D52" s="36">
        <f>'Expence-23'!E52</f>
        <v>0</v>
      </c>
      <c r="E52" s="36">
        <f>'Expence-24'!E52</f>
        <v>0</v>
      </c>
      <c r="F52" s="36">
        <f>'Expence-25'!E52</f>
        <v>0</v>
      </c>
      <c r="G52" s="36">
        <f>'Expence-26'!E52</f>
        <v>0</v>
      </c>
      <c r="H52" s="36">
        <f>'Expence-27'!E52</f>
        <v>0</v>
      </c>
      <c r="I52" s="36">
        <f>'Expence-28'!E52</f>
        <v>0</v>
      </c>
      <c r="J52" s="34">
        <f t="shared" si="0"/>
        <v>0</v>
      </c>
      <c r="R52"/>
    </row>
    <row r="53" spans="1:18" ht="15" thickBot="1" x14ac:dyDescent="0.35">
      <c r="A53" s="26" t="s">
        <v>6</v>
      </c>
      <c r="B53" s="27" t="s">
        <v>54</v>
      </c>
      <c r="C53" s="36">
        <f>'Expence-22'!E53</f>
        <v>2800</v>
      </c>
      <c r="D53" s="36">
        <f>'Expence-23'!E53</f>
        <v>0</v>
      </c>
      <c r="E53" s="36">
        <f>'Expence-24'!E53</f>
        <v>0</v>
      </c>
      <c r="F53" s="36">
        <f>'Expence-25'!E53</f>
        <v>2500</v>
      </c>
      <c r="G53" s="36">
        <f>'Expence-26'!E53</f>
        <v>5500</v>
      </c>
      <c r="H53" s="36">
        <f>'Expence-27'!E53</f>
        <v>5500</v>
      </c>
      <c r="I53" s="36">
        <f>'Expence-28'!E53</f>
        <v>7500</v>
      </c>
      <c r="J53" s="34">
        <f t="shared" si="0"/>
        <v>23800</v>
      </c>
      <c r="R53"/>
    </row>
    <row r="54" spans="1:18" ht="15" thickBot="1" x14ac:dyDescent="0.35">
      <c r="A54" s="26" t="s">
        <v>8</v>
      </c>
      <c r="B54" s="27" t="s">
        <v>55</v>
      </c>
      <c r="C54" s="36">
        <f>'Expence-22'!E54</f>
        <v>0</v>
      </c>
      <c r="D54" s="36">
        <f>'Expence-23'!E54</f>
        <v>0</v>
      </c>
      <c r="E54" s="36">
        <f>'Expence-24'!E54</f>
        <v>0</v>
      </c>
      <c r="F54" s="36">
        <f>'Expence-25'!E54</f>
        <v>0</v>
      </c>
      <c r="G54" s="36">
        <f>'Expence-26'!E54</f>
        <v>0</v>
      </c>
      <c r="H54" s="36">
        <f>'Expence-27'!E54</f>
        <v>0</v>
      </c>
      <c r="I54" s="36">
        <f>'Expence-28'!E54</f>
        <v>0</v>
      </c>
      <c r="J54" s="34">
        <f t="shared" si="0"/>
        <v>0</v>
      </c>
      <c r="R54"/>
    </row>
    <row r="55" spans="1:18" ht="15" thickBot="1" x14ac:dyDescent="0.35">
      <c r="A55" s="26" t="s">
        <v>10</v>
      </c>
      <c r="B55" s="27" t="s">
        <v>56</v>
      </c>
      <c r="C55" s="36">
        <f>'Expence-22'!E55</f>
        <v>0</v>
      </c>
      <c r="D55" s="36">
        <f>'Expence-23'!E55</f>
        <v>1200</v>
      </c>
      <c r="E55" s="36">
        <f>'Expence-24'!E55</f>
        <v>0</v>
      </c>
      <c r="F55" s="36">
        <f>'Expence-25'!E55</f>
        <v>0</v>
      </c>
      <c r="G55" s="36">
        <f>'Expence-26'!E55</f>
        <v>0</v>
      </c>
      <c r="H55" s="36">
        <f>'Expence-27'!E55</f>
        <v>0</v>
      </c>
      <c r="I55" s="36">
        <f>'Expence-28'!E55</f>
        <v>1200</v>
      </c>
      <c r="J55" s="34">
        <f t="shared" si="0"/>
        <v>2400</v>
      </c>
      <c r="R55"/>
    </row>
    <row r="56" spans="1:18" ht="15" thickBot="1" x14ac:dyDescent="0.35">
      <c r="A56" s="26" t="s">
        <v>12</v>
      </c>
      <c r="B56" s="27" t="s">
        <v>57</v>
      </c>
      <c r="C56" s="36">
        <f>'Expence-22'!E56</f>
        <v>0</v>
      </c>
      <c r="D56" s="36">
        <f>'Expence-23'!E56</f>
        <v>0</v>
      </c>
      <c r="E56" s="36">
        <f>'Expence-24'!E56</f>
        <v>0</v>
      </c>
      <c r="F56" s="36">
        <f>'Expence-25'!E56</f>
        <v>0</v>
      </c>
      <c r="G56" s="36">
        <f>'Expence-26'!E56</f>
        <v>0</v>
      </c>
      <c r="H56" s="36">
        <f>'Expence-27'!E56</f>
        <v>0</v>
      </c>
      <c r="I56" s="36">
        <f>'Expence-28'!E56</f>
        <v>0</v>
      </c>
      <c r="J56" s="34">
        <f t="shared" si="0"/>
        <v>0</v>
      </c>
      <c r="R56"/>
    </row>
    <row r="57" spans="1:18" ht="15" thickBot="1" x14ac:dyDescent="0.35">
      <c r="A57" s="26" t="s">
        <v>14</v>
      </c>
      <c r="B57" s="27" t="s">
        <v>58</v>
      </c>
      <c r="C57" s="36">
        <f>'Expence-22'!E57</f>
        <v>0</v>
      </c>
      <c r="D57" s="36">
        <f>'Expence-23'!E57</f>
        <v>0</v>
      </c>
      <c r="E57" s="36">
        <f>'Expence-24'!E57</f>
        <v>0</v>
      </c>
      <c r="F57" s="36">
        <f>'Expence-25'!E57</f>
        <v>0</v>
      </c>
      <c r="G57" s="36">
        <f>'Expence-26'!E57</f>
        <v>0</v>
      </c>
      <c r="H57" s="36">
        <f>'Expence-27'!E57</f>
        <v>0</v>
      </c>
      <c r="I57" s="36">
        <f>'Expence-28'!E57</f>
        <v>0</v>
      </c>
      <c r="J57" s="34">
        <f t="shared" si="0"/>
        <v>0</v>
      </c>
      <c r="R57"/>
    </row>
    <row r="58" spans="1:18" ht="15" thickBot="1" x14ac:dyDescent="0.35">
      <c r="A58" s="26" t="s">
        <v>22</v>
      </c>
      <c r="B58" s="27" t="s">
        <v>59</v>
      </c>
      <c r="C58" s="36">
        <f>'Expence-22'!E58</f>
        <v>0</v>
      </c>
      <c r="D58" s="36">
        <f>'Expence-23'!E58</f>
        <v>0</v>
      </c>
      <c r="E58" s="36">
        <f>'Expence-24'!E58</f>
        <v>0</v>
      </c>
      <c r="F58" s="36">
        <f>'Expence-25'!E58</f>
        <v>0</v>
      </c>
      <c r="G58" s="36">
        <f>'Expence-26'!E58</f>
        <v>0</v>
      </c>
      <c r="H58" s="36">
        <f>'Expence-27'!E58</f>
        <v>0</v>
      </c>
      <c r="I58" s="36">
        <f>'Expence-28'!E58</f>
        <v>0</v>
      </c>
      <c r="J58" s="34">
        <f t="shared" si="0"/>
        <v>0</v>
      </c>
      <c r="R58"/>
    </row>
    <row r="59" spans="1:18" ht="15" thickBot="1" x14ac:dyDescent="0.35">
      <c r="A59" s="26" t="s">
        <v>24</v>
      </c>
      <c r="B59" s="27" t="s">
        <v>60</v>
      </c>
      <c r="C59" s="36">
        <f>'Expence-22'!E59</f>
        <v>0</v>
      </c>
      <c r="D59" s="36">
        <f>'Expence-23'!E59</f>
        <v>0</v>
      </c>
      <c r="E59" s="36">
        <f>'Expence-24'!E59</f>
        <v>0</v>
      </c>
      <c r="F59" s="36">
        <f>'Expence-25'!E59</f>
        <v>0</v>
      </c>
      <c r="G59" s="36">
        <f>'Expence-26'!E59</f>
        <v>0</v>
      </c>
      <c r="H59" s="36">
        <f>'Expence-27'!E59</f>
        <v>0</v>
      </c>
      <c r="I59" s="36">
        <f>'Expence-28'!E59</f>
        <v>0</v>
      </c>
      <c r="J59" s="34">
        <f t="shared" si="0"/>
        <v>0</v>
      </c>
      <c r="R59"/>
    </row>
    <row r="60" spans="1:18" ht="15" thickBot="1" x14ac:dyDescent="0.35">
      <c r="A60" s="26" t="s">
        <v>26</v>
      </c>
      <c r="B60" s="27" t="s">
        <v>61</v>
      </c>
      <c r="C60" s="36">
        <f>'Expence-22'!E60</f>
        <v>0</v>
      </c>
      <c r="D60" s="36">
        <f>'Expence-23'!E60</f>
        <v>0</v>
      </c>
      <c r="E60" s="36">
        <f>'Expence-24'!E60</f>
        <v>0</v>
      </c>
      <c r="F60" s="36">
        <f>'Expence-25'!E60</f>
        <v>0</v>
      </c>
      <c r="G60" s="36">
        <f>'Expence-26'!E60</f>
        <v>0</v>
      </c>
      <c r="H60" s="36">
        <f>'Expence-27'!E60</f>
        <v>0</v>
      </c>
      <c r="I60" s="36">
        <f>'Expence-28'!E60</f>
        <v>0</v>
      </c>
      <c r="J60" s="34">
        <f t="shared" si="0"/>
        <v>0</v>
      </c>
      <c r="R60"/>
    </row>
    <row r="61" spans="1:18" ht="15" thickBot="1" x14ac:dyDescent="0.35">
      <c r="A61" s="26" t="s">
        <v>28</v>
      </c>
      <c r="B61" s="27" t="s">
        <v>62</v>
      </c>
      <c r="C61" s="36">
        <f>'Expence-22'!E61</f>
        <v>0</v>
      </c>
      <c r="D61" s="36">
        <f>'Expence-23'!E61</f>
        <v>0</v>
      </c>
      <c r="E61" s="36">
        <f>'Expence-24'!E61</f>
        <v>0</v>
      </c>
      <c r="F61" s="36">
        <f>'Expence-25'!E61</f>
        <v>0</v>
      </c>
      <c r="G61" s="36">
        <f>'Expence-26'!E61</f>
        <v>0</v>
      </c>
      <c r="H61" s="36">
        <f>'Expence-27'!E61</f>
        <v>0</v>
      </c>
      <c r="I61" s="36">
        <f>'Expence-28'!E61</f>
        <v>0</v>
      </c>
      <c r="J61" s="34">
        <f t="shared" si="0"/>
        <v>0</v>
      </c>
      <c r="R61"/>
    </row>
    <row r="62" spans="1:18" ht="15" thickBot="1" x14ac:dyDescent="0.35">
      <c r="A62" s="26" t="s">
        <v>30</v>
      </c>
      <c r="B62" s="27" t="s">
        <v>63</v>
      </c>
      <c r="C62" s="36">
        <f>'Expence-22'!E62</f>
        <v>0</v>
      </c>
      <c r="D62" s="36">
        <f>'Expence-23'!E62</f>
        <v>6250</v>
      </c>
      <c r="E62" s="36">
        <f>'Expence-24'!E62</f>
        <v>0</v>
      </c>
      <c r="F62" s="36">
        <f>'Expence-25'!E62</f>
        <v>0</v>
      </c>
      <c r="G62" s="36">
        <f>'Expence-26'!E62</f>
        <v>0</v>
      </c>
      <c r="H62" s="36">
        <f>'Expence-27'!E62</f>
        <v>0</v>
      </c>
      <c r="I62" s="36">
        <f>'Expence-28'!E62</f>
        <v>4250</v>
      </c>
      <c r="J62" s="34">
        <f t="shared" si="0"/>
        <v>10500</v>
      </c>
      <c r="R62"/>
    </row>
    <row r="63" spans="1:18" ht="15" thickBot="1" x14ac:dyDescent="0.35">
      <c r="A63" s="26" t="s">
        <v>32</v>
      </c>
      <c r="B63" s="27" t="s">
        <v>64</v>
      </c>
      <c r="C63" s="36">
        <f>'Expence-22'!E63</f>
        <v>0</v>
      </c>
      <c r="D63" s="36">
        <f>'Expence-23'!E63</f>
        <v>0</v>
      </c>
      <c r="E63" s="36">
        <f>'Expence-24'!E63</f>
        <v>0</v>
      </c>
      <c r="F63" s="36">
        <f>'Expence-25'!E63</f>
        <v>0</v>
      </c>
      <c r="G63" s="36">
        <f>'Expence-26'!E63</f>
        <v>0</v>
      </c>
      <c r="H63" s="36">
        <f>'Expence-27'!E63</f>
        <v>0</v>
      </c>
      <c r="I63" s="36">
        <f>'Expence-28'!E63</f>
        <v>0</v>
      </c>
      <c r="J63" s="34">
        <f t="shared" si="0"/>
        <v>0</v>
      </c>
      <c r="R63"/>
    </row>
    <row r="64" spans="1:18" ht="15" thickBot="1" x14ac:dyDescent="0.35">
      <c r="A64" s="26" t="s">
        <v>34</v>
      </c>
      <c r="B64" s="27" t="s">
        <v>65</v>
      </c>
      <c r="C64" s="36">
        <f>'Expence-22'!E64</f>
        <v>0</v>
      </c>
      <c r="D64" s="36">
        <f>'Expence-23'!E64</f>
        <v>0</v>
      </c>
      <c r="E64" s="36">
        <f>'Expence-24'!E64</f>
        <v>0</v>
      </c>
      <c r="F64" s="36">
        <f>'Expence-25'!E64</f>
        <v>0</v>
      </c>
      <c r="G64" s="36">
        <f>'Expence-26'!E64</f>
        <v>0</v>
      </c>
      <c r="H64" s="36">
        <f>'Expence-27'!E64</f>
        <v>0</v>
      </c>
      <c r="I64" s="36">
        <f>'Expence-28'!E64</f>
        <v>0</v>
      </c>
      <c r="J64" s="34">
        <f t="shared" si="0"/>
        <v>0</v>
      </c>
      <c r="R64"/>
    </row>
    <row r="65" spans="1:18" ht="15" thickBot="1" x14ac:dyDescent="0.35">
      <c r="A65" s="26" t="s">
        <v>66</v>
      </c>
      <c r="B65" s="27" t="s">
        <v>67</v>
      </c>
      <c r="C65" s="36">
        <f>'Expence-22'!E65</f>
        <v>0</v>
      </c>
      <c r="D65" s="36">
        <f>'Expence-23'!E65</f>
        <v>0</v>
      </c>
      <c r="E65" s="36">
        <f>'Expence-24'!E65</f>
        <v>0</v>
      </c>
      <c r="F65" s="36">
        <f>'Expence-25'!E65</f>
        <v>0</v>
      </c>
      <c r="G65" s="36">
        <f>'Expence-26'!E65</f>
        <v>0</v>
      </c>
      <c r="H65" s="36">
        <f>'Expence-27'!E65</f>
        <v>0</v>
      </c>
      <c r="I65" s="36">
        <f>'Expence-28'!E65</f>
        <v>0</v>
      </c>
      <c r="J65" s="34">
        <f t="shared" si="0"/>
        <v>0</v>
      </c>
      <c r="R65"/>
    </row>
    <row r="66" spans="1:18" ht="15" thickBot="1" x14ac:dyDescent="0.35">
      <c r="A66" s="26" t="s">
        <v>68</v>
      </c>
      <c r="B66" s="27" t="s">
        <v>69</v>
      </c>
      <c r="C66" s="36">
        <f>'Expence-22'!E66</f>
        <v>0</v>
      </c>
      <c r="D66" s="36">
        <f>'Expence-23'!E66</f>
        <v>0</v>
      </c>
      <c r="E66" s="36">
        <f>'Expence-24'!E66</f>
        <v>0</v>
      </c>
      <c r="F66" s="36">
        <f>'Expence-25'!E66</f>
        <v>0</v>
      </c>
      <c r="G66" s="36">
        <f>'Expence-26'!E66</f>
        <v>0</v>
      </c>
      <c r="H66" s="36">
        <f>'Expence-27'!E66</f>
        <v>0</v>
      </c>
      <c r="I66" s="36">
        <f>'Expence-28'!E66</f>
        <v>0</v>
      </c>
      <c r="J66" s="34">
        <f t="shared" si="0"/>
        <v>0</v>
      </c>
      <c r="R66"/>
    </row>
    <row r="67" spans="1:18" ht="15" thickBot="1" x14ac:dyDescent="0.35">
      <c r="A67" s="26" t="s">
        <v>70</v>
      </c>
      <c r="B67" s="27" t="s">
        <v>71</v>
      </c>
      <c r="C67" s="36">
        <f>'Expence-22'!E67</f>
        <v>0</v>
      </c>
      <c r="D67" s="36">
        <f>'Expence-23'!E67</f>
        <v>0</v>
      </c>
      <c r="E67" s="36">
        <f>'Expence-24'!E67</f>
        <v>0</v>
      </c>
      <c r="F67" s="36">
        <f>'Expence-25'!E67</f>
        <v>0</v>
      </c>
      <c r="G67" s="36">
        <f>'Expence-26'!E67</f>
        <v>0</v>
      </c>
      <c r="H67" s="36">
        <f>'Expence-27'!E67</f>
        <v>0</v>
      </c>
      <c r="I67" s="36">
        <f>'Expence-28'!E67</f>
        <v>0</v>
      </c>
      <c r="J67" s="34">
        <f t="shared" si="0"/>
        <v>0</v>
      </c>
      <c r="R67"/>
    </row>
    <row r="68" spans="1:18" ht="15" thickBot="1" x14ac:dyDescent="0.35">
      <c r="A68" s="26" t="s">
        <v>72</v>
      </c>
      <c r="B68" s="27" t="s">
        <v>73</v>
      </c>
      <c r="C68" s="36">
        <f>'Expence-22'!E68</f>
        <v>0</v>
      </c>
      <c r="D68" s="36">
        <f>'Expence-23'!E68</f>
        <v>0</v>
      </c>
      <c r="E68" s="36">
        <f>'Expence-24'!E68</f>
        <v>0</v>
      </c>
      <c r="F68" s="36">
        <f>'Expence-25'!E68</f>
        <v>0</v>
      </c>
      <c r="G68" s="36">
        <f>'Expence-26'!E68</f>
        <v>0</v>
      </c>
      <c r="H68" s="36">
        <f>'Expence-27'!E68</f>
        <v>0</v>
      </c>
      <c r="I68" s="36">
        <f>'Expence-28'!E68</f>
        <v>0</v>
      </c>
      <c r="J68" s="34">
        <f t="shared" ref="J68:J99" si="1">SUM(C68:I68)</f>
        <v>0</v>
      </c>
      <c r="R68"/>
    </row>
    <row r="69" spans="1:18" ht="15" thickBot="1" x14ac:dyDescent="0.35">
      <c r="A69" s="26" t="s">
        <v>74</v>
      </c>
      <c r="B69" s="27" t="s">
        <v>75</v>
      </c>
      <c r="C69" s="36">
        <f>'Expence-22'!E69</f>
        <v>0</v>
      </c>
      <c r="D69" s="36">
        <f>'Expence-23'!E69</f>
        <v>0</v>
      </c>
      <c r="E69" s="36">
        <f>'Expence-24'!E69</f>
        <v>0</v>
      </c>
      <c r="F69" s="36">
        <f>'Expence-25'!E69</f>
        <v>0</v>
      </c>
      <c r="G69" s="36">
        <f>'Expence-26'!E69</f>
        <v>0</v>
      </c>
      <c r="H69" s="36">
        <f>'Expence-27'!E69</f>
        <v>0</v>
      </c>
      <c r="I69" s="36">
        <f>'Expence-28'!E69</f>
        <v>0</v>
      </c>
      <c r="J69" s="34">
        <f t="shared" si="1"/>
        <v>0</v>
      </c>
      <c r="R69"/>
    </row>
    <row r="70" spans="1:18" ht="15" thickBot="1" x14ac:dyDescent="0.35">
      <c r="A70" s="11" t="s">
        <v>79</v>
      </c>
      <c r="B70" s="14" t="s">
        <v>84</v>
      </c>
      <c r="C70" s="36">
        <f>'Expence-22'!E70</f>
        <v>0</v>
      </c>
      <c r="D70" s="36">
        <f>'Expence-23'!E70</f>
        <v>0</v>
      </c>
      <c r="E70" s="36">
        <f>'Expence-24'!E70</f>
        <v>0</v>
      </c>
      <c r="F70" s="36">
        <f>'Expence-25'!E70</f>
        <v>0</v>
      </c>
      <c r="G70" s="36">
        <f>'Expence-26'!E70</f>
        <v>0</v>
      </c>
      <c r="H70" s="36">
        <f>'Expence-27'!E70</f>
        <v>0</v>
      </c>
      <c r="I70" s="36">
        <f>'Expence-28'!E70</f>
        <v>0</v>
      </c>
      <c r="J70" s="34">
        <f t="shared" si="1"/>
        <v>0</v>
      </c>
      <c r="R70"/>
    </row>
    <row r="71" spans="1:18" ht="15" thickBot="1" x14ac:dyDescent="0.35">
      <c r="A71" s="11" t="s">
        <v>85</v>
      </c>
      <c r="B71" s="14" t="s">
        <v>86</v>
      </c>
      <c r="C71" s="36">
        <f>'Expence-22'!E71</f>
        <v>0</v>
      </c>
      <c r="D71" s="36">
        <f>'Expence-23'!E71</f>
        <v>0</v>
      </c>
      <c r="E71" s="36">
        <f>'Expence-24'!E71</f>
        <v>0</v>
      </c>
      <c r="F71" s="36">
        <f>'Expence-25'!E71</f>
        <v>0</v>
      </c>
      <c r="G71" s="36">
        <f>'Expence-26'!E71</f>
        <v>0</v>
      </c>
      <c r="H71" s="36">
        <f>'Expence-27'!E71</f>
        <v>0</v>
      </c>
      <c r="I71" s="36">
        <f>'Expence-28'!E71</f>
        <v>0</v>
      </c>
      <c r="J71" s="34">
        <f t="shared" si="1"/>
        <v>0</v>
      </c>
      <c r="R71"/>
    </row>
    <row r="72" spans="1:18" ht="15" thickBot="1" x14ac:dyDescent="0.35">
      <c r="A72" s="11" t="s">
        <v>87</v>
      </c>
      <c r="B72" s="14" t="s">
        <v>88</v>
      </c>
      <c r="C72" s="36">
        <f>'Expence-22'!E72</f>
        <v>0</v>
      </c>
      <c r="D72" s="36">
        <f>'Expence-23'!E72</f>
        <v>0</v>
      </c>
      <c r="E72" s="36">
        <f>'Expence-24'!E72</f>
        <v>0</v>
      </c>
      <c r="F72" s="36">
        <f>'Expence-25'!E72</f>
        <v>0</v>
      </c>
      <c r="G72" s="36">
        <f>'Expence-26'!E72</f>
        <v>0</v>
      </c>
      <c r="H72" s="36">
        <f>'Expence-27'!E72</f>
        <v>0</v>
      </c>
      <c r="I72" s="36">
        <f>'Expence-28'!E72</f>
        <v>0</v>
      </c>
      <c r="J72" s="34">
        <f t="shared" si="1"/>
        <v>0</v>
      </c>
      <c r="R72"/>
    </row>
    <row r="73" spans="1:18" ht="15" thickBot="1" x14ac:dyDescent="0.35">
      <c r="A73" s="11" t="s">
        <v>106</v>
      </c>
      <c r="B73" s="14" t="s">
        <v>107</v>
      </c>
      <c r="C73" s="36">
        <f>'Expence-22'!E73</f>
        <v>0</v>
      </c>
      <c r="D73" s="36">
        <f>'Expence-23'!E73</f>
        <v>0</v>
      </c>
      <c r="E73" s="36">
        <f>'Expence-24'!E73</f>
        <v>0</v>
      </c>
      <c r="F73" s="36">
        <f>'Expence-25'!E73</f>
        <v>0</v>
      </c>
      <c r="G73" s="36">
        <f>'Expence-26'!E73</f>
        <v>2700</v>
      </c>
      <c r="H73" s="36">
        <f>'Expence-27'!E73</f>
        <v>0</v>
      </c>
      <c r="I73" s="36">
        <f>'Expence-28'!E73</f>
        <v>0</v>
      </c>
      <c r="J73" s="34">
        <f t="shared" si="1"/>
        <v>2700</v>
      </c>
      <c r="R73"/>
    </row>
    <row r="74" spans="1:18" ht="15" thickBot="1" x14ac:dyDescent="0.35">
      <c r="A74" s="27"/>
      <c r="B74" s="27"/>
      <c r="C74" s="36">
        <f>'Expence-22'!E74</f>
        <v>0</v>
      </c>
      <c r="D74" s="36">
        <f>'Expence-23'!E74</f>
        <v>0</v>
      </c>
      <c r="E74" s="36">
        <f>'Expence-24'!E74</f>
        <v>0</v>
      </c>
      <c r="F74" s="36">
        <f>'Expence-25'!E74</f>
        <v>0</v>
      </c>
      <c r="G74" s="36">
        <f>'Expence-26'!E74</f>
        <v>0</v>
      </c>
      <c r="H74" s="36">
        <f>'Expence-27'!E74</f>
        <v>0</v>
      </c>
      <c r="I74" s="36">
        <f>'Expence-28'!E74</f>
        <v>0</v>
      </c>
      <c r="J74" s="34">
        <f t="shared" si="1"/>
        <v>0</v>
      </c>
      <c r="R74"/>
    </row>
    <row r="75" spans="1:18" ht="15" thickBot="1" x14ac:dyDescent="0.35">
      <c r="A75" s="31">
        <v>7</v>
      </c>
      <c r="B75" s="22" t="s">
        <v>76</v>
      </c>
      <c r="C75" s="36">
        <f>'Expence-22'!E75</f>
        <v>0</v>
      </c>
      <c r="D75" s="36">
        <f>'Expence-23'!E75</f>
        <v>0</v>
      </c>
      <c r="E75" s="36">
        <f>'Expence-24'!E75</f>
        <v>0</v>
      </c>
      <c r="F75" s="36">
        <f>'Expence-25'!E75</f>
        <v>0</v>
      </c>
      <c r="G75" s="36">
        <f>'Expence-26'!E75</f>
        <v>0</v>
      </c>
      <c r="H75" s="36">
        <f>'Expence-27'!E75</f>
        <v>0</v>
      </c>
      <c r="I75" s="36">
        <f>'Expence-28'!E75</f>
        <v>0</v>
      </c>
      <c r="J75" s="34">
        <f t="shared" si="1"/>
        <v>0</v>
      </c>
      <c r="R75"/>
    </row>
    <row r="76" spans="1:18" ht="15" thickBot="1" x14ac:dyDescent="0.35">
      <c r="A76" s="26" t="s">
        <v>6</v>
      </c>
      <c r="B76" s="27" t="s">
        <v>77</v>
      </c>
      <c r="C76" s="36">
        <f>'Expence-22'!E76</f>
        <v>0</v>
      </c>
      <c r="D76" s="36">
        <f>'Expence-23'!E76</f>
        <v>0</v>
      </c>
      <c r="E76" s="36">
        <f>'Expence-24'!E76</f>
        <v>0</v>
      </c>
      <c r="F76" s="36">
        <f>'Expence-25'!E76</f>
        <v>0</v>
      </c>
      <c r="G76" s="36">
        <f>'Expence-26'!E76</f>
        <v>0</v>
      </c>
      <c r="H76" s="36">
        <f>'Expence-27'!E76</f>
        <v>0</v>
      </c>
      <c r="I76" s="36">
        <f>'Expence-28'!E76</f>
        <v>0</v>
      </c>
      <c r="J76" s="34">
        <f t="shared" si="1"/>
        <v>0</v>
      </c>
      <c r="R76"/>
    </row>
    <row r="77" spans="1:18" ht="15" thickBot="1" x14ac:dyDescent="0.35">
      <c r="A77" s="26" t="s">
        <v>8</v>
      </c>
      <c r="B77" s="27" t="s">
        <v>78</v>
      </c>
      <c r="C77" s="36">
        <f>'Expence-22'!E77</f>
        <v>0</v>
      </c>
      <c r="D77" s="36">
        <f>'Expence-23'!E77</f>
        <v>0</v>
      </c>
      <c r="E77" s="36">
        <f>'Expence-24'!E77</f>
        <v>0</v>
      </c>
      <c r="F77" s="36">
        <f>'Expence-25'!E77</f>
        <v>0</v>
      </c>
      <c r="G77" s="36">
        <f>'Expence-26'!E77</f>
        <v>0</v>
      </c>
      <c r="H77" s="36">
        <f>'Expence-27'!E77</f>
        <v>0</v>
      </c>
      <c r="I77" s="36">
        <f>'Expence-28'!E77</f>
        <v>0</v>
      </c>
      <c r="J77" s="34">
        <f t="shared" si="1"/>
        <v>0</v>
      </c>
      <c r="R77"/>
    </row>
    <row r="78" spans="1:18" ht="15" thickBot="1" x14ac:dyDescent="0.35">
      <c r="A78" s="36"/>
      <c r="B78" s="36"/>
      <c r="C78" s="36">
        <f>'Expence-22'!E78</f>
        <v>0</v>
      </c>
      <c r="D78" s="36">
        <f>'Expence-23'!E78</f>
        <v>0</v>
      </c>
      <c r="E78" s="36">
        <f>'Expence-24'!E78</f>
        <v>0</v>
      </c>
      <c r="F78" s="36">
        <f>'Expence-25'!E78</f>
        <v>0</v>
      </c>
      <c r="G78" s="36">
        <f>'Expence-26'!E78</f>
        <v>0</v>
      </c>
      <c r="H78" s="36">
        <f>'Expence-27'!E78</f>
        <v>0</v>
      </c>
      <c r="I78" s="36">
        <f>'Expence-28'!E78</f>
        <v>0</v>
      </c>
      <c r="J78" s="34">
        <f t="shared" si="1"/>
        <v>0</v>
      </c>
      <c r="R78"/>
    </row>
    <row r="79" spans="1:18" ht="15" thickBot="1" x14ac:dyDescent="0.35">
      <c r="A79" s="31">
        <v>8</v>
      </c>
      <c r="B79" s="22" t="s">
        <v>96</v>
      </c>
      <c r="C79" s="36">
        <f>'Expence-22'!E79</f>
        <v>0</v>
      </c>
      <c r="D79" s="36">
        <f>'Expence-23'!E79</f>
        <v>0</v>
      </c>
      <c r="E79" s="36">
        <f>'Expence-24'!E79</f>
        <v>0</v>
      </c>
      <c r="F79" s="36">
        <f>'Expence-25'!E79</f>
        <v>0</v>
      </c>
      <c r="G79" s="36">
        <f>'Expence-26'!E79</f>
        <v>0</v>
      </c>
      <c r="H79" s="36">
        <f>'Expence-27'!E79</f>
        <v>0</v>
      </c>
      <c r="I79" s="36">
        <f>'Expence-28'!E79</f>
        <v>0</v>
      </c>
      <c r="J79" s="34">
        <f t="shared" si="1"/>
        <v>0</v>
      </c>
      <c r="R79"/>
    </row>
    <row r="80" spans="1:18" ht="15" thickBot="1" x14ac:dyDescent="0.35">
      <c r="A80" s="48" t="s">
        <v>6</v>
      </c>
      <c r="B80" s="14" t="s">
        <v>116</v>
      </c>
      <c r="C80" s="36">
        <f>'Expence-22'!E80</f>
        <v>0</v>
      </c>
      <c r="D80" s="36">
        <f>'Expence-23'!E80</f>
        <v>0</v>
      </c>
      <c r="E80" s="36">
        <f>'Expence-24'!E80</f>
        <v>0</v>
      </c>
      <c r="F80" s="36">
        <f>'Expence-25'!E80</f>
        <v>0</v>
      </c>
      <c r="G80" s="36">
        <f>'Expence-26'!E80</f>
        <v>0</v>
      </c>
      <c r="H80" s="36">
        <f>'Expence-27'!E80</f>
        <v>0</v>
      </c>
      <c r="I80" s="36">
        <f>'Expence-28'!E80</f>
        <v>3600</v>
      </c>
      <c r="J80" s="34">
        <f t="shared" si="1"/>
        <v>3600</v>
      </c>
      <c r="R80"/>
    </row>
    <row r="81" spans="1:18" ht="15" thickBot="1" x14ac:dyDescent="0.35">
      <c r="A81" s="48" t="s">
        <v>8</v>
      </c>
      <c r="B81" s="14" t="s">
        <v>117</v>
      </c>
      <c r="C81" s="36">
        <f>'Expence-22'!E81</f>
        <v>0</v>
      </c>
      <c r="D81" s="36">
        <f>'Expence-23'!E81</f>
        <v>0</v>
      </c>
      <c r="E81" s="36">
        <f>'Expence-24'!E81</f>
        <v>0</v>
      </c>
      <c r="F81" s="36">
        <f>'Expence-25'!E81</f>
        <v>0</v>
      </c>
      <c r="G81" s="36">
        <f>'Expence-26'!E81</f>
        <v>0</v>
      </c>
      <c r="H81" s="36">
        <f>'Expence-27'!E81</f>
        <v>0</v>
      </c>
      <c r="I81" s="36">
        <f>'Expence-28'!E81</f>
        <v>2700</v>
      </c>
      <c r="J81" s="34">
        <f t="shared" si="1"/>
        <v>2700</v>
      </c>
      <c r="R81"/>
    </row>
    <row r="82" spans="1:18" ht="15" thickBot="1" x14ac:dyDescent="0.35">
      <c r="A82" s="48" t="s">
        <v>10</v>
      </c>
      <c r="B82" s="14" t="s">
        <v>97</v>
      </c>
      <c r="C82" s="36">
        <f>'Expence-22'!E82</f>
        <v>1500</v>
      </c>
      <c r="D82" s="36">
        <f>'Expence-23'!E82</f>
        <v>0</v>
      </c>
      <c r="E82" s="36">
        <f>'Expence-24'!E82</f>
        <v>0</v>
      </c>
      <c r="F82" s="36">
        <f>'Expence-25'!E82</f>
        <v>1500</v>
      </c>
      <c r="G82" s="36">
        <f>'Expence-26'!E82</f>
        <v>2000</v>
      </c>
      <c r="H82" s="36">
        <f>'Expence-27'!E82</f>
        <v>1000</v>
      </c>
      <c r="I82" s="36">
        <f>'Expence-28'!E82</f>
        <v>2000</v>
      </c>
      <c r="J82" s="34">
        <f t="shared" si="1"/>
        <v>8000</v>
      </c>
      <c r="R82"/>
    </row>
    <row r="83" spans="1:18" ht="15" thickBot="1" x14ac:dyDescent="0.35">
      <c r="A83" s="48" t="s">
        <v>12</v>
      </c>
      <c r="B83" s="14" t="s">
        <v>118</v>
      </c>
      <c r="C83" s="36">
        <f>'Expence-22'!E83</f>
        <v>0</v>
      </c>
      <c r="D83" s="36">
        <f>'Expence-23'!E83</f>
        <v>0</v>
      </c>
      <c r="E83" s="36">
        <f>'Expence-24'!E83</f>
        <v>0</v>
      </c>
      <c r="F83" s="36">
        <f>'Expence-25'!E83</f>
        <v>0</v>
      </c>
      <c r="G83" s="36">
        <f>'Expence-26'!E83</f>
        <v>0</v>
      </c>
      <c r="H83" s="36">
        <f>'Expence-27'!E83</f>
        <v>0</v>
      </c>
      <c r="I83" s="36">
        <f>'Expence-28'!E83</f>
        <v>500</v>
      </c>
      <c r="J83" s="34">
        <f t="shared" si="1"/>
        <v>500</v>
      </c>
      <c r="R83"/>
    </row>
    <row r="84" spans="1:18" ht="15" thickBot="1" x14ac:dyDescent="0.35">
      <c r="A84" s="48" t="s">
        <v>14</v>
      </c>
      <c r="B84" s="14" t="s">
        <v>108</v>
      </c>
      <c r="C84" s="36">
        <f>'Expence-22'!E84</f>
        <v>0</v>
      </c>
      <c r="D84" s="36">
        <f>'Expence-23'!E84</f>
        <v>0</v>
      </c>
      <c r="E84" s="36">
        <f>'Expence-24'!E84</f>
        <v>0</v>
      </c>
      <c r="F84" s="36">
        <f>'Expence-25'!E84</f>
        <v>0</v>
      </c>
      <c r="G84" s="36">
        <f>'Expence-26'!E84</f>
        <v>1500</v>
      </c>
      <c r="H84" s="36">
        <f>'Expence-27'!E84</f>
        <v>0</v>
      </c>
      <c r="I84" s="36">
        <f>'Expence-28'!E84</f>
        <v>1800</v>
      </c>
      <c r="J84" s="34">
        <f t="shared" si="1"/>
        <v>3300</v>
      </c>
      <c r="R84"/>
    </row>
    <row r="85" spans="1:18" ht="15" thickBot="1" x14ac:dyDescent="0.35">
      <c r="A85" s="48" t="s">
        <v>22</v>
      </c>
      <c r="B85" s="14" t="s">
        <v>119</v>
      </c>
      <c r="C85" s="36">
        <f>'Expence-22'!E85</f>
        <v>0</v>
      </c>
      <c r="D85" s="36">
        <f>'Expence-23'!E85</f>
        <v>0</v>
      </c>
      <c r="E85" s="36">
        <f>'Expence-24'!E85</f>
        <v>0</v>
      </c>
      <c r="F85" s="36">
        <f>'Expence-25'!E85</f>
        <v>0</v>
      </c>
      <c r="G85" s="36">
        <f>'Expence-26'!E85</f>
        <v>0</v>
      </c>
      <c r="H85" s="36">
        <f>'Expence-27'!E85</f>
        <v>0</v>
      </c>
      <c r="I85" s="36">
        <f>'Expence-28'!E85</f>
        <v>5000</v>
      </c>
      <c r="J85" s="34">
        <f t="shared" si="1"/>
        <v>5000</v>
      </c>
      <c r="R85"/>
    </row>
    <row r="86" spans="1:18" ht="15" thickBot="1" x14ac:dyDescent="0.35">
      <c r="A86" s="48" t="s">
        <v>24</v>
      </c>
      <c r="B86" s="14" t="s">
        <v>100</v>
      </c>
      <c r="C86" s="36">
        <f>'Expence-22'!E86</f>
        <v>400</v>
      </c>
      <c r="D86" s="36">
        <f>'Expence-23'!E86</f>
        <v>800</v>
      </c>
      <c r="E86" s="36">
        <f>'Expence-24'!E86</f>
        <v>0</v>
      </c>
      <c r="F86" s="36">
        <f>'Expence-25'!E86</f>
        <v>1600</v>
      </c>
      <c r="G86" s="36">
        <f>'Expence-26'!E86</f>
        <v>800</v>
      </c>
      <c r="H86" s="36">
        <f>'Expence-27'!E86</f>
        <v>0</v>
      </c>
      <c r="I86" s="36">
        <f>'Expence-28'!E86</f>
        <v>500</v>
      </c>
      <c r="J86" s="34">
        <f t="shared" si="1"/>
        <v>4100</v>
      </c>
      <c r="R86"/>
    </row>
    <row r="87" spans="1:18" ht="15" thickBot="1" x14ac:dyDescent="0.35">
      <c r="A87" s="48" t="s">
        <v>26</v>
      </c>
      <c r="B87" s="14" t="s">
        <v>102</v>
      </c>
      <c r="C87" s="36">
        <f>'Expence-22'!E87</f>
        <v>2500</v>
      </c>
      <c r="D87" s="36">
        <f>'Expence-23'!E87</f>
        <v>0</v>
      </c>
      <c r="E87" s="36">
        <f>'Expence-24'!E87</f>
        <v>0</v>
      </c>
      <c r="F87" s="36">
        <f>'Expence-25'!E87</f>
        <v>0</v>
      </c>
      <c r="G87" s="36">
        <f>'Expence-26'!E87</f>
        <v>2500</v>
      </c>
      <c r="H87" s="36">
        <f>'Expence-27'!E87</f>
        <v>0</v>
      </c>
      <c r="I87" s="36">
        <f>'Expence-28'!E87</f>
        <v>2200</v>
      </c>
      <c r="J87" s="34">
        <f t="shared" si="1"/>
        <v>7200</v>
      </c>
      <c r="R87"/>
    </row>
    <row r="88" spans="1:18" ht="15" thickBot="1" x14ac:dyDescent="0.35">
      <c r="A88" s="48" t="s">
        <v>28</v>
      </c>
      <c r="B88" s="14" t="s">
        <v>104</v>
      </c>
      <c r="C88" s="36">
        <f>'Expence-22'!E88</f>
        <v>0</v>
      </c>
      <c r="D88" s="36">
        <f>'Expence-23'!E88</f>
        <v>0</v>
      </c>
      <c r="E88" s="36">
        <f>'Expence-24'!E88</f>
        <v>0</v>
      </c>
      <c r="F88" s="36">
        <f>'Expence-25'!E88</f>
        <v>1100</v>
      </c>
      <c r="G88" s="36">
        <f>'Expence-26'!E88</f>
        <v>700</v>
      </c>
      <c r="H88" s="36">
        <f>'Expence-27'!E88</f>
        <v>0</v>
      </c>
      <c r="I88" s="36">
        <f>'Expence-28'!E88</f>
        <v>0</v>
      </c>
      <c r="J88" s="34">
        <f t="shared" si="1"/>
        <v>1800</v>
      </c>
      <c r="R88"/>
    </row>
    <row r="89" spans="1:18" ht="15" thickBot="1" x14ac:dyDescent="0.35">
      <c r="A89" s="48" t="s">
        <v>30</v>
      </c>
      <c r="B89" s="14" t="s">
        <v>109</v>
      </c>
      <c r="C89" s="36">
        <f>'Expence-22'!E89</f>
        <v>0</v>
      </c>
      <c r="D89" s="36">
        <f>'Expence-23'!E89</f>
        <v>0</v>
      </c>
      <c r="E89" s="36">
        <f>'Expence-24'!E89</f>
        <v>0</v>
      </c>
      <c r="F89" s="36">
        <f>'Expence-25'!E89</f>
        <v>0</v>
      </c>
      <c r="G89" s="36">
        <f>'Expence-26'!E89</f>
        <v>5000</v>
      </c>
      <c r="H89" s="36">
        <f>'Expence-27'!E89</f>
        <v>0</v>
      </c>
      <c r="I89" s="36">
        <f>'Expence-28'!E89</f>
        <v>0</v>
      </c>
      <c r="J89" s="34">
        <f t="shared" si="1"/>
        <v>5000</v>
      </c>
      <c r="R89"/>
    </row>
    <row r="90" spans="1:18" ht="15" thickBot="1" x14ac:dyDescent="0.35">
      <c r="A90" s="48" t="s">
        <v>32</v>
      </c>
      <c r="B90" s="14" t="s">
        <v>110</v>
      </c>
      <c r="C90" s="36">
        <f>'Expence-22'!E90</f>
        <v>0</v>
      </c>
      <c r="D90" s="36">
        <f>'Expence-23'!E90</f>
        <v>0</v>
      </c>
      <c r="E90" s="36">
        <f>'Expence-24'!E90</f>
        <v>0</v>
      </c>
      <c r="F90" s="36">
        <f>'Expence-25'!E90</f>
        <v>0</v>
      </c>
      <c r="G90" s="36">
        <f>'Expence-26'!E90</f>
        <v>1200</v>
      </c>
      <c r="H90" s="36">
        <f>'Expence-27'!E90</f>
        <v>0</v>
      </c>
      <c r="I90" s="36">
        <f>'Expence-28'!E90</f>
        <v>0</v>
      </c>
      <c r="J90" s="34">
        <f t="shared" si="1"/>
        <v>1200</v>
      </c>
      <c r="R90"/>
    </row>
    <row r="91" spans="1:18" ht="15" thickBot="1" x14ac:dyDescent="0.35">
      <c r="A91" s="48" t="s">
        <v>34</v>
      </c>
      <c r="B91" s="14" t="s">
        <v>111</v>
      </c>
      <c r="C91" s="36">
        <f>'Expence-22'!E91</f>
        <v>0</v>
      </c>
      <c r="D91" s="36">
        <f>'Expence-23'!E91</f>
        <v>0</v>
      </c>
      <c r="E91" s="36">
        <f>'Expence-24'!E91</f>
        <v>0</v>
      </c>
      <c r="F91" s="36">
        <f>'Expence-25'!E91</f>
        <v>0</v>
      </c>
      <c r="G91" s="36">
        <f>'Expence-26'!E91</f>
        <v>2000</v>
      </c>
      <c r="H91" s="36">
        <f>'Expence-27'!E91</f>
        <v>0</v>
      </c>
      <c r="I91" s="36">
        <f>'Expence-28'!E91</f>
        <v>0</v>
      </c>
      <c r="J91" s="34">
        <f t="shared" si="1"/>
        <v>2000</v>
      </c>
      <c r="R91"/>
    </row>
    <row r="92" spans="1:18" ht="15" thickBot="1" x14ac:dyDescent="0.35">
      <c r="A92" s="48" t="s">
        <v>66</v>
      </c>
      <c r="B92" s="14" t="s">
        <v>112</v>
      </c>
      <c r="C92" s="36">
        <f>'Expence-22'!E92</f>
        <v>0</v>
      </c>
      <c r="D92" s="36">
        <f>'Expence-23'!E92</f>
        <v>0</v>
      </c>
      <c r="E92" s="36">
        <f>'Expence-24'!E92</f>
        <v>0</v>
      </c>
      <c r="F92" s="36">
        <f>'Expence-25'!E92</f>
        <v>0</v>
      </c>
      <c r="G92" s="36">
        <f>'Expence-26'!E92</f>
        <v>900</v>
      </c>
      <c r="H92" s="36">
        <f>'Expence-27'!E92</f>
        <v>0</v>
      </c>
      <c r="I92" s="36">
        <f>'Expence-28'!E92</f>
        <v>0</v>
      </c>
      <c r="J92" s="34">
        <f t="shared" si="1"/>
        <v>900</v>
      </c>
      <c r="R92"/>
    </row>
    <row r="93" spans="1:18" ht="15" thickBot="1" x14ac:dyDescent="0.35">
      <c r="A93" s="48" t="s">
        <v>68</v>
      </c>
      <c r="B93" s="14" t="s">
        <v>121</v>
      </c>
      <c r="C93" s="36">
        <f>'Expence-22'!E93</f>
        <v>0</v>
      </c>
      <c r="D93" s="36">
        <f>'Expence-23'!E93</f>
        <v>6400</v>
      </c>
      <c r="E93" s="36">
        <f>'Expence-24'!E93</f>
        <v>0</v>
      </c>
      <c r="F93" s="36">
        <f>'Expence-25'!E93</f>
        <v>0</v>
      </c>
      <c r="G93" s="36">
        <f>'Expence-26'!E93</f>
        <v>12100</v>
      </c>
      <c r="H93" s="36">
        <f>'Expence-27'!E93</f>
        <v>0</v>
      </c>
      <c r="I93" s="36">
        <f>'Expence-28'!E93</f>
        <v>0</v>
      </c>
      <c r="J93" s="34">
        <f t="shared" si="1"/>
        <v>18500</v>
      </c>
      <c r="R93"/>
    </row>
    <row r="94" spans="1:18" ht="15" thickBot="1" x14ac:dyDescent="0.35">
      <c r="A94" s="48" t="s">
        <v>70</v>
      </c>
      <c r="B94" s="14" t="s">
        <v>105</v>
      </c>
      <c r="C94" s="36">
        <f>'Expence-22'!E94</f>
        <v>0</v>
      </c>
      <c r="D94" s="36">
        <f>'Expence-23'!E94</f>
        <v>0</v>
      </c>
      <c r="E94" s="36">
        <f>'Expence-24'!E94</f>
        <v>0</v>
      </c>
      <c r="F94" s="36">
        <f>'Expence-25'!E94</f>
        <v>6000</v>
      </c>
      <c r="G94" s="36">
        <f>'Expence-26'!E94</f>
        <v>0</v>
      </c>
      <c r="H94" s="36">
        <f>'Expence-27'!E94</f>
        <v>0</v>
      </c>
      <c r="I94" s="36">
        <f>'Expence-28'!E94</f>
        <v>0</v>
      </c>
      <c r="J94" s="34">
        <f t="shared" si="1"/>
        <v>6000</v>
      </c>
      <c r="R94"/>
    </row>
    <row r="95" spans="1:18" ht="15" thickBot="1" x14ac:dyDescent="0.35">
      <c r="A95" s="48" t="s">
        <v>72</v>
      </c>
      <c r="B95" s="14" t="s">
        <v>120</v>
      </c>
      <c r="C95" s="36">
        <f>'Expence-22'!E95</f>
        <v>0</v>
      </c>
      <c r="D95" s="36">
        <f>'Expence-23'!E95</f>
        <v>0</v>
      </c>
      <c r="E95" s="36">
        <f>'Expence-24'!E95</f>
        <v>0</v>
      </c>
      <c r="F95" s="36">
        <f>'Expence-25'!E95</f>
        <v>11100</v>
      </c>
      <c r="G95" s="36">
        <f>'Expence-26'!E95</f>
        <v>0</v>
      </c>
      <c r="H95" s="36">
        <f>'Expence-27'!E95</f>
        <v>0</v>
      </c>
      <c r="I95" s="36">
        <f>'Expence-28'!E95</f>
        <v>0</v>
      </c>
      <c r="J95" s="34">
        <f t="shared" si="1"/>
        <v>11100</v>
      </c>
      <c r="R95"/>
    </row>
    <row r="96" spans="1:18" ht="15" thickBot="1" x14ac:dyDescent="0.35">
      <c r="A96" s="48" t="s">
        <v>74</v>
      </c>
      <c r="B96" s="14" t="s">
        <v>101</v>
      </c>
      <c r="C96" s="36">
        <f>'Expence-22'!E96</f>
        <v>0</v>
      </c>
      <c r="D96" s="36">
        <f>'Expence-23'!E96</f>
        <v>15000</v>
      </c>
      <c r="E96" s="36">
        <f>'Expence-24'!E96</f>
        <v>0</v>
      </c>
      <c r="F96" s="36">
        <f>'Expence-25'!E96</f>
        <v>0</v>
      </c>
      <c r="G96" s="36">
        <f>'Expence-26'!E96</f>
        <v>0</v>
      </c>
      <c r="H96" s="36">
        <f>'Expence-27'!E96</f>
        <v>0</v>
      </c>
      <c r="I96" s="36">
        <f>'Expence-28'!E96</f>
        <v>0</v>
      </c>
      <c r="J96" s="34">
        <f t="shared" si="1"/>
        <v>15000</v>
      </c>
      <c r="R96"/>
    </row>
    <row r="97" spans="1:18" ht="15" thickBot="1" x14ac:dyDescent="0.35">
      <c r="A97" s="48" t="s">
        <v>79</v>
      </c>
      <c r="B97" s="14" t="s">
        <v>103</v>
      </c>
      <c r="C97" s="36">
        <f>'Expence-22'!E97</f>
        <v>0</v>
      </c>
      <c r="D97" s="36">
        <f>'Expence-23'!E97</f>
        <v>300</v>
      </c>
      <c r="E97" s="36">
        <f>'Expence-24'!E97</f>
        <v>0</v>
      </c>
      <c r="F97" s="36">
        <f>'Expence-25'!E97</f>
        <v>0</v>
      </c>
      <c r="G97" s="36">
        <f>'Expence-26'!E97</f>
        <v>0</v>
      </c>
      <c r="H97" s="36">
        <f>'Expence-27'!E97</f>
        <v>0</v>
      </c>
      <c r="I97" s="36">
        <f>'Expence-28'!E97</f>
        <v>0</v>
      </c>
      <c r="J97" s="34">
        <f t="shared" si="1"/>
        <v>300</v>
      </c>
      <c r="R97"/>
    </row>
    <row r="98" spans="1:18" ht="15" thickBot="1" x14ac:dyDescent="0.35">
      <c r="A98" s="48" t="s">
        <v>85</v>
      </c>
      <c r="B98" s="14" t="s">
        <v>98</v>
      </c>
      <c r="C98" s="36">
        <f>'Expence-22'!E98</f>
        <v>1200</v>
      </c>
      <c r="D98" s="36">
        <f>'Expence-23'!E98</f>
        <v>0</v>
      </c>
      <c r="E98" s="36">
        <f>'Expence-24'!E98</f>
        <v>0</v>
      </c>
      <c r="F98" s="36">
        <f>'Expence-25'!E98</f>
        <v>0</v>
      </c>
      <c r="G98" s="36">
        <f>'Expence-26'!E98</f>
        <v>0</v>
      </c>
      <c r="H98" s="36">
        <f>'Expence-27'!E98</f>
        <v>0</v>
      </c>
      <c r="I98" s="36">
        <f>'Expence-28'!E98</f>
        <v>0</v>
      </c>
      <c r="J98" s="34">
        <f t="shared" si="1"/>
        <v>1200</v>
      </c>
      <c r="R98"/>
    </row>
    <row r="99" spans="1:18" ht="15" thickBot="1" x14ac:dyDescent="0.35">
      <c r="A99" s="48" t="s">
        <v>87</v>
      </c>
      <c r="B99" s="14" t="s">
        <v>99</v>
      </c>
      <c r="C99" s="36">
        <f>'Expence-22'!E99</f>
        <v>300</v>
      </c>
      <c r="D99" s="36">
        <f>'Expence-23'!E99</f>
        <v>0</v>
      </c>
      <c r="E99" s="36">
        <f>'Expence-24'!E99</f>
        <v>0</v>
      </c>
      <c r="F99" s="36">
        <f>'Expence-25'!E99</f>
        <v>0</v>
      </c>
      <c r="G99" s="36">
        <f>'Expence-26'!E99</f>
        <v>0</v>
      </c>
      <c r="H99" s="36">
        <f>'Expence-27'!E99</f>
        <v>0</v>
      </c>
      <c r="I99" s="36">
        <f>'Expence-28'!E99</f>
        <v>0</v>
      </c>
      <c r="J99" s="34">
        <f t="shared" si="1"/>
        <v>300</v>
      </c>
      <c r="R99"/>
    </row>
    <row r="100" spans="1:18" ht="15" thickBot="1" x14ac:dyDescent="0.35">
      <c r="G100" s="37"/>
      <c r="H100" s="37"/>
      <c r="I100"/>
      <c r="J100" s="34"/>
      <c r="R100"/>
    </row>
    <row r="101" spans="1:18" x14ac:dyDescent="0.3">
      <c r="I101" s="37"/>
      <c r="R101"/>
    </row>
    <row r="102" spans="1:18" s="40" customFormat="1" ht="15.6" x14ac:dyDescent="0.3">
      <c r="B102" s="40" t="s">
        <v>80</v>
      </c>
      <c r="C102" s="41">
        <f>SUM(C3:C101)</f>
        <v>8700</v>
      </c>
      <c r="D102" s="41">
        <f t="shared" ref="D102:I102" si="2">SUM(D3:D101)</f>
        <v>54950</v>
      </c>
      <c r="E102" s="41">
        <f t="shared" si="2"/>
        <v>0</v>
      </c>
      <c r="F102" s="41">
        <f t="shared" si="2"/>
        <v>28800</v>
      </c>
      <c r="G102" s="41">
        <f t="shared" si="2"/>
        <v>146700</v>
      </c>
      <c r="H102" s="41">
        <f t="shared" si="2"/>
        <v>72400</v>
      </c>
      <c r="I102" s="41">
        <f t="shared" si="2"/>
        <v>73750</v>
      </c>
      <c r="J102" s="42">
        <f>SUM(J2:J101)</f>
        <v>385300</v>
      </c>
    </row>
  </sheetData>
  <pageMargins left="0.7" right="0.7" top="0.75" bottom="0.75" header="0.3" footer="0.3"/>
  <pageSetup scale="56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2"/>
  <sheetViews>
    <sheetView topLeftCell="A77" zoomScale="85" zoomScaleNormal="85" workbookViewId="0">
      <selection activeCell="A80" sqref="A80:B99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50">
        <v>600</v>
      </c>
      <c r="D3"/>
      <c r="E3" s="13">
        <f t="shared" ref="E3:E78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50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 t="shared" si="0"/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400</v>
      </c>
      <c r="D10"/>
      <c r="E10" s="13">
        <f t="shared" si="0"/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 t="shared" si="0"/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</row>
    <row r="34" spans="1:10" x14ac:dyDescent="0.3">
      <c r="A34" s="11" t="s">
        <v>24</v>
      </c>
      <c r="B34" t="s">
        <v>83</v>
      </c>
      <c r="C34" s="12">
        <v>1000</v>
      </c>
      <c r="D34"/>
      <c r="E34" s="13">
        <f t="shared" si="0"/>
        <v>0</v>
      </c>
    </row>
    <row r="35" spans="1:10" x14ac:dyDescent="0.3">
      <c r="A35" s="11" t="s">
        <v>26</v>
      </c>
      <c r="B35" t="s">
        <v>43</v>
      </c>
      <c r="C35" s="12"/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A39" s="11" t="s">
        <v>34</v>
      </c>
      <c r="B39" t="s">
        <v>114</v>
      </c>
      <c r="C39" s="12">
        <f>100</f>
        <v>100</v>
      </c>
      <c r="D39"/>
    </row>
    <row r="40" spans="1:10" x14ac:dyDescent="0.3">
      <c r="C40" s="12"/>
      <c r="D40"/>
      <c r="E40" s="13">
        <f t="shared" si="0"/>
        <v>0</v>
      </c>
    </row>
    <row r="41" spans="1:1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0" x14ac:dyDescent="0.3">
      <c r="A42" s="11" t="s">
        <v>6</v>
      </c>
      <c r="B42" t="s">
        <v>45</v>
      </c>
      <c r="C42" s="12">
        <v>1000</v>
      </c>
      <c r="D42"/>
      <c r="E42" s="13">
        <f t="shared" si="0"/>
        <v>0</v>
      </c>
    </row>
    <row r="43" spans="1:10" x14ac:dyDescent="0.3">
      <c r="A43" s="11" t="s">
        <v>8</v>
      </c>
      <c r="B43" t="s">
        <v>46</v>
      </c>
      <c r="C43" s="12">
        <v>100</v>
      </c>
      <c r="D43"/>
      <c r="E43" s="13">
        <f t="shared" si="0"/>
        <v>0</v>
      </c>
    </row>
    <row r="44" spans="1:10" x14ac:dyDescent="0.3">
      <c r="A44" s="11" t="s">
        <v>10</v>
      </c>
      <c r="B44" t="s">
        <v>47</v>
      </c>
      <c r="C44" s="12"/>
      <c r="D44"/>
      <c r="E44" s="13">
        <f t="shared" si="0"/>
        <v>0</v>
      </c>
    </row>
    <row r="45" spans="1:10" x14ac:dyDescent="0.3">
      <c r="A45" s="11" t="s">
        <v>12</v>
      </c>
      <c r="B45" t="s">
        <v>48</v>
      </c>
      <c r="C45" s="12"/>
      <c r="D45"/>
      <c r="E45" s="13">
        <f t="shared" si="0"/>
        <v>0</v>
      </c>
    </row>
    <row r="46" spans="1:10" x14ac:dyDescent="0.3">
      <c r="A46" s="11" t="s">
        <v>14</v>
      </c>
      <c r="B46" t="s">
        <v>49</v>
      </c>
      <c r="C46" s="12"/>
      <c r="D46"/>
      <c r="E46" s="13">
        <f t="shared" si="0"/>
        <v>0</v>
      </c>
    </row>
    <row r="47" spans="1:10" x14ac:dyDescent="0.3">
      <c r="C47" s="12"/>
      <c r="D47"/>
      <c r="E47" s="13">
        <f t="shared" si="0"/>
        <v>0</v>
      </c>
    </row>
    <row r="48" spans="1:10" x14ac:dyDescent="0.3">
      <c r="A48" s="6">
        <v>5</v>
      </c>
      <c r="B48" s="7" t="s">
        <v>50</v>
      </c>
      <c r="C48" s="9"/>
      <c r="D48" s="8"/>
      <c r="E48" s="10">
        <f t="shared" si="0"/>
        <v>0</v>
      </c>
    </row>
    <row r="49" spans="1:5" x14ac:dyDescent="0.3">
      <c r="A49" s="11" t="s">
        <v>6</v>
      </c>
      <c r="B49" t="s">
        <v>51</v>
      </c>
      <c r="C49" s="12">
        <v>100</v>
      </c>
      <c r="D49"/>
      <c r="E49" s="13">
        <f t="shared" si="0"/>
        <v>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0"/>
        <v>0</v>
      </c>
    </row>
    <row r="51" spans="1:5" x14ac:dyDescent="0.3">
      <c r="A51" s="11"/>
      <c r="C51" s="12"/>
      <c r="D51"/>
      <c r="E51" s="13">
        <f t="shared" si="0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0"/>
        <v>0</v>
      </c>
    </row>
    <row r="53" spans="1:5" x14ac:dyDescent="0.3">
      <c r="A53" s="11" t="s">
        <v>6</v>
      </c>
      <c r="B53" s="14" t="s">
        <v>54</v>
      </c>
      <c r="C53" s="12">
        <v>2800</v>
      </c>
      <c r="D53">
        <v>1</v>
      </c>
      <c r="E53" s="13">
        <f t="shared" si="0"/>
        <v>2800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0"/>
        <v>0</v>
      </c>
    </row>
    <row r="55" spans="1:5" x14ac:dyDescent="0.3">
      <c r="A55" s="11" t="s">
        <v>10</v>
      </c>
      <c r="B55" s="14" t="s">
        <v>56</v>
      </c>
      <c r="C55" s="12">
        <v>500</v>
      </c>
      <c r="D55"/>
      <c r="E55" s="13">
        <f t="shared" si="0"/>
        <v>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0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0"/>
        <v>0</v>
      </c>
    </row>
    <row r="58" spans="1:5" x14ac:dyDescent="0.3">
      <c r="A58" s="11" t="s">
        <v>22</v>
      </c>
      <c r="B58" s="14" t="s">
        <v>59</v>
      </c>
      <c r="C58" s="12">
        <v>300</v>
      </c>
      <c r="D58"/>
      <c r="E58" s="13">
        <f t="shared" si="0"/>
        <v>0</v>
      </c>
    </row>
    <row r="59" spans="1:5" x14ac:dyDescent="0.3">
      <c r="A59" s="11" t="s">
        <v>24</v>
      </c>
      <c r="B59" s="14" t="s">
        <v>60</v>
      </c>
      <c r="C59">
        <f>5100/4</f>
        <v>1275</v>
      </c>
      <c r="D59"/>
      <c r="E59" s="13">
        <f t="shared" si="0"/>
        <v>0</v>
      </c>
    </row>
    <row r="60" spans="1:5" x14ac:dyDescent="0.3">
      <c r="A60" s="11" t="s">
        <v>26</v>
      </c>
      <c r="B60" s="14" t="s">
        <v>61</v>
      </c>
      <c r="C60" s="12">
        <v>300</v>
      </c>
      <c r="D60"/>
      <c r="E60" s="13">
        <f t="shared" si="0"/>
        <v>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0"/>
        <v>0</v>
      </c>
    </row>
    <row r="62" spans="1:5" x14ac:dyDescent="0.3">
      <c r="A62" s="11" t="s">
        <v>30</v>
      </c>
      <c r="B62" s="14" t="s">
        <v>63</v>
      </c>
      <c r="C62" s="12">
        <v>700</v>
      </c>
      <c r="D62"/>
      <c r="E62" s="13">
        <f t="shared" si="0"/>
        <v>0</v>
      </c>
    </row>
    <row r="63" spans="1:5" x14ac:dyDescent="0.3">
      <c r="A63" s="11" t="s">
        <v>32</v>
      </c>
      <c r="B63" s="14" t="s">
        <v>64</v>
      </c>
      <c r="C63" s="12">
        <v>800</v>
      </c>
      <c r="D63"/>
      <c r="E63" s="13">
        <f t="shared" si="0"/>
        <v>0</v>
      </c>
    </row>
    <row r="64" spans="1:5" x14ac:dyDescent="0.3">
      <c r="A64" s="11" t="s">
        <v>34</v>
      </c>
      <c r="B64" s="14" t="s">
        <v>65</v>
      </c>
      <c r="C64" s="12">
        <v>300</v>
      </c>
      <c r="D64"/>
      <c r="E64" s="13">
        <f t="shared" si="0"/>
        <v>0</v>
      </c>
    </row>
    <row r="65" spans="1:13" x14ac:dyDescent="0.3">
      <c r="A65" s="11" t="s">
        <v>66</v>
      </c>
      <c r="B65" s="14" t="s">
        <v>67</v>
      </c>
      <c r="C65" s="12">
        <v>300</v>
      </c>
      <c r="D65"/>
      <c r="E65" s="13">
        <f t="shared" si="0"/>
        <v>0</v>
      </c>
    </row>
    <row r="66" spans="1:13" x14ac:dyDescent="0.3">
      <c r="A66" s="11" t="s">
        <v>68</v>
      </c>
      <c r="B66" s="14" t="s">
        <v>69</v>
      </c>
      <c r="C66" s="12">
        <v>600</v>
      </c>
      <c r="D66"/>
      <c r="E66" s="13">
        <f t="shared" si="0"/>
        <v>0</v>
      </c>
    </row>
    <row r="67" spans="1:13" x14ac:dyDescent="0.3">
      <c r="A67" s="11" t="s">
        <v>70</v>
      </c>
      <c r="B67" s="14" t="s">
        <v>71</v>
      </c>
      <c r="C67" s="12">
        <v>1500</v>
      </c>
      <c r="D67"/>
      <c r="E67" s="13">
        <f t="shared" si="0"/>
        <v>0</v>
      </c>
    </row>
    <row r="68" spans="1:13" x14ac:dyDescent="0.3">
      <c r="A68" s="11" t="s">
        <v>72</v>
      </c>
      <c r="B68" s="14" t="s">
        <v>73</v>
      </c>
      <c r="C68" s="12">
        <v>1000</v>
      </c>
      <c r="D68"/>
      <c r="E68" s="13">
        <f t="shared" si="0"/>
        <v>0</v>
      </c>
    </row>
    <row r="69" spans="1:13" x14ac:dyDescent="0.3">
      <c r="A69" s="11" t="s">
        <v>74</v>
      </c>
      <c r="B69" s="14" t="s">
        <v>75</v>
      </c>
      <c r="C69" s="12">
        <v>2000</v>
      </c>
      <c r="D69"/>
      <c r="E69" s="13">
        <f t="shared" si="0"/>
        <v>0</v>
      </c>
    </row>
    <row r="70" spans="1:13" x14ac:dyDescent="0.3">
      <c r="A70" s="11" t="s">
        <v>79</v>
      </c>
      <c r="B70" s="14" t="s">
        <v>84</v>
      </c>
      <c r="C70" s="12">
        <v>400</v>
      </c>
      <c r="D70"/>
      <c r="E70" s="13">
        <f t="shared" si="0"/>
        <v>0</v>
      </c>
      <c r="M70"/>
    </row>
    <row r="71" spans="1:13" x14ac:dyDescent="0.3">
      <c r="A71" s="11" t="s">
        <v>85</v>
      </c>
      <c r="B71" s="14" t="s">
        <v>86</v>
      </c>
      <c r="C71" s="12">
        <v>300</v>
      </c>
      <c r="D71"/>
      <c r="E71" s="13">
        <f t="shared" si="0"/>
        <v>0</v>
      </c>
      <c r="M71"/>
    </row>
    <row r="72" spans="1:13" x14ac:dyDescent="0.3">
      <c r="A72" s="11" t="s">
        <v>87</v>
      </c>
      <c r="B72" s="14" t="s">
        <v>88</v>
      </c>
      <c r="C72" s="12">
        <v>500</v>
      </c>
      <c r="D72"/>
      <c r="E72" s="13">
        <f t="shared" si="0"/>
        <v>0</v>
      </c>
      <c r="M72"/>
    </row>
    <row r="73" spans="1:13" x14ac:dyDescent="0.3">
      <c r="A73" s="11" t="s">
        <v>106</v>
      </c>
      <c r="B73" s="14" t="s">
        <v>107</v>
      </c>
      <c r="C73" s="12"/>
      <c r="D73"/>
      <c r="M73"/>
    </row>
    <row r="74" spans="1:13" x14ac:dyDescent="0.3">
      <c r="C74" s="12"/>
      <c r="D74"/>
      <c r="E74" s="13">
        <f t="shared" si="0"/>
        <v>0</v>
      </c>
      <c r="M74"/>
    </row>
    <row r="75" spans="1:13" x14ac:dyDescent="0.3">
      <c r="A75" s="15">
        <v>7</v>
      </c>
      <c r="B75" s="7" t="s">
        <v>76</v>
      </c>
      <c r="C75" s="9"/>
      <c r="D75" s="8"/>
      <c r="E75" s="10">
        <f t="shared" si="0"/>
        <v>0</v>
      </c>
      <c r="M75"/>
    </row>
    <row r="76" spans="1:13" x14ac:dyDescent="0.3">
      <c r="A76" s="11" t="s">
        <v>6</v>
      </c>
      <c r="B76" s="14" t="s">
        <v>77</v>
      </c>
      <c r="C76" s="12"/>
      <c r="D76"/>
      <c r="E76" s="13">
        <f t="shared" si="0"/>
        <v>0</v>
      </c>
      <c r="M76"/>
    </row>
    <row r="77" spans="1:13" x14ac:dyDescent="0.3">
      <c r="A77" s="11" t="s">
        <v>8</v>
      </c>
      <c r="B77" s="14" t="s">
        <v>78</v>
      </c>
      <c r="C77" s="12">
        <v>2000</v>
      </c>
      <c r="D77"/>
      <c r="E77" s="13">
        <f t="shared" si="0"/>
        <v>0</v>
      </c>
      <c r="J77" s="14"/>
      <c r="L77" s="12"/>
      <c r="M77"/>
    </row>
    <row r="78" spans="1:13" x14ac:dyDescent="0.3">
      <c r="A78" s="11"/>
      <c r="B78" s="14"/>
      <c r="C78" s="12"/>
      <c r="D78"/>
      <c r="E78" s="13">
        <f t="shared" si="0"/>
        <v>0</v>
      </c>
      <c r="J78" s="14"/>
      <c r="L78" s="12"/>
      <c r="M78"/>
    </row>
    <row r="79" spans="1:13" x14ac:dyDescent="0.3">
      <c r="A79" s="15">
        <v>8</v>
      </c>
      <c r="B79" s="7" t="s">
        <v>96</v>
      </c>
      <c r="C79" s="9"/>
      <c r="D79" s="8"/>
      <c r="E79" s="13">
        <f t="shared" ref="E79:E100" si="1">D79*C79</f>
        <v>0</v>
      </c>
      <c r="J79" s="14"/>
      <c r="L79" s="12"/>
      <c r="M79"/>
    </row>
    <row r="80" spans="1:13" x14ac:dyDescent="0.3">
      <c r="A80" s="48" t="s">
        <v>6</v>
      </c>
      <c r="B80" s="14" t="s">
        <v>116</v>
      </c>
      <c r="E80" s="13">
        <f t="shared" si="1"/>
        <v>0</v>
      </c>
      <c r="J80" s="14"/>
      <c r="L80" s="12"/>
      <c r="M80"/>
    </row>
    <row r="81" spans="1:13" x14ac:dyDescent="0.3">
      <c r="A81" s="48" t="s">
        <v>8</v>
      </c>
      <c r="B81" s="14" t="s">
        <v>117</v>
      </c>
      <c r="E81" s="13">
        <f t="shared" si="1"/>
        <v>0</v>
      </c>
      <c r="J81" s="14"/>
      <c r="L81" s="12"/>
      <c r="M81"/>
    </row>
    <row r="82" spans="1:13" x14ac:dyDescent="0.3">
      <c r="A82" s="48" t="s">
        <v>10</v>
      </c>
      <c r="B82" s="14" t="s">
        <v>97</v>
      </c>
      <c r="C82">
        <v>1500</v>
      </c>
      <c r="D82" s="12">
        <v>1</v>
      </c>
      <c r="E82" s="13">
        <f t="shared" si="1"/>
        <v>1500</v>
      </c>
      <c r="J82" s="14"/>
      <c r="L82" s="12"/>
      <c r="M82"/>
    </row>
    <row r="83" spans="1:13" x14ac:dyDescent="0.3">
      <c r="A83" s="48" t="s">
        <v>12</v>
      </c>
      <c r="B83" s="14" t="s">
        <v>118</v>
      </c>
      <c r="E83" s="13">
        <f t="shared" si="1"/>
        <v>0</v>
      </c>
      <c r="J83" s="14"/>
      <c r="L83" s="12"/>
      <c r="M83"/>
    </row>
    <row r="84" spans="1:13" x14ac:dyDescent="0.3">
      <c r="A84" s="48" t="s">
        <v>14</v>
      </c>
      <c r="B84" s="14" t="s">
        <v>108</v>
      </c>
      <c r="E84" s="13">
        <f t="shared" si="1"/>
        <v>0</v>
      </c>
      <c r="J84" s="14"/>
      <c r="L84" s="12"/>
      <c r="M84"/>
    </row>
    <row r="85" spans="1:13" x14ac:dyDescent="0.3">
      <c r="A85" s="48" t="s">
        <v>22</v>
      </c>
      <c r="B85" s="14" t="s">
        <v>119</v>
      </c>
      <c r="E85" s="13">
        <f t="shared" si="1"/>
        <v>0</v>
      </c>
      <c r="J85" s="14"/>
      <c r="L85" s="12"/>
      <c r="M85"/>
    </row>
    <row r="86" spans="1:13" x14ac:dyDescent="0.3">
      <c r="A86" s="48" t="s">
        <v>24</v>
      </c>
      <c r="B86" s="14" t="s">
        <v>100</v>
      </c>
      <c r="C86">
        <v>400</v>
      </c>
      <c r="D86" s="12">
        <v>1</v>
      </c>
      <c r="E86" s="13">
        <f t="shared" si="1"/>
        <v>400</v>
      </c>
      <c r="J86" s="14"/>
      <c r="L86" s="12"/>
      <c r="M86"/>
    </row>
    <row r="87" spans="1:13" x14ac:dyDescent="0.3">
      <c r="A87" s="48" t="s">
        <v>26</v>
      </c>
      <c r="B87" s="14" t="s">
        <v>102</v>
      </c>
      <c r="C87">
        <v>2500</v>
      </c>
      <c r="D87" s="12">
        <v>1</v>
      </c>
      <c r="E87" s="13">
        <f t="shared" si="1"/>
        <v>2500</v>
      </c>
      <c r="J87" s="14"/>
      <c r="L87" s="12"/>
      <c r="M87"/>
    </row>
    <row r="88" spans="1:13" x14ac:dyDescent="0.3">
      <c r="A88" s="48" t="s">
        <v>28</v>
      </c>
      <c r="B88" s="14" t="s">
        <v>104</v>
      </c>
      <c r="E88" s="13">
        <f t="shared" si="1"/>
        <v>0</v>
      </c>
      <c r="J88" s="14"/>
      <c r="L88" s="12"/>
      <c r="M88"/>
    </row>
    <row r="89" spans="1:13" x14ac:dyDescent="0.3">
      <c r="A89" s="48" t="s">
        <v>30</v>
      </c>
      <c r="B89" s="14" t="s">
        <v>109</v>
      </c>
      <c r="E89" s="13">
        <f t="shared" si="1"/>
        <v>0</v>
      </c>
      <c r="J89" s="14"/>
      <c r="L89" s="12"/>
      <c r="M89"/>
    </row>
    <row r="90" spans="1:13" x14ac:dyDescent="0.3">
      <c r="A90" s="48" t="s">
        <v>32</v>
      </c>
      <c r="B90" s="14" t="s">
        <v>110</v>
      </c>
      <c r="E90" s="13">
        <f t="shared" si="1"/>
        <v>0</v>
      </c>
      <c r="J90" s="14"/>
      <c r="L90" s="12"/>
      <c r="M90"/>
    </row>
    <row r="91" spans="1:13" x14ac:dyDescent="0.3">
      <c r="A91" s="48" t="s">
        <v>34</v>
      </c>
      <c r="B91" s="14" t="s">
        <v>111</v>
      </c>
      <c r="E91" s="13">
        <f t="shared" si="1"/>
        <v>0</v>
      </c>
      <c r="J91" s="14"/>
      <c r="L91" s="12"/>
      <c r="M91"/>
    </row>
    <row r="92" spans="1:13" x14ac:dyDescent="0.3">
      <c r="A92" s="48" t="s">
        <v>66</v>
      </c>
      <c r="B92" s="14" t="s">
        <v>112</v>
      </c>
      <c r="E92" s="13">
        <f t="shared" si="1"/>
        <v>0</v>
      </c>
      <c r="J92" s="14"/>
      <c r="L92" s="12"/>
      <c r="M92"/>
    </row>
    <row r="93" spans="1:13" x14ac:dyDescent="0.3">
      <c r="A93" s="48" t="s">
        <v>68</v>
      </c>
      <c r="B93" s="14" t="s">
        <v>121</v>
      </c>
      <c r="E93" s="13">
        <f t="shared" si="1"/>
        <v>0</v>
      </c>
      <c r="M93"/>
    </row>
    <row r="94" spans="1:13" x14ac:dyDescent="0.3">
      <c r="A94" s="48" t="s">
        <v>70</v>
      </c>
      <c r="B94" s="14" t="s">
        <v>105</v>
      </c>
      <c r="E94" s="13">
        <f t="shared" si="1"/>
        <v>0</v>
      </c>
      <c r="M94"/>
    </row>
    <row r="95" spans="1:13" x14ac:dyDescent="0.3">
      <c r="A95" s="48" t="s">
        <v>72</v>
      </c>
      <c r="B95" s="14" t="s">
        <v>120</v>
      </c>
      <c r="E95" s="13">
        <f t="shared" si="1"/>
        <v>0</v>
      </c>
      <c r="M95"/>
    </row>
    <row r="96" spans="1:13" x14ac:dyDescent="0.3">
      <c r="A96" s="48" t="s">
        <v>74</v>
      </c>
      <c r="B96" s="14" t="s">
        <v>101</v>
      </c>
      <c r="E96" s="13">
        <f t="shared" si="1"/>
        <v>0</v>
      </c>
      <c r="M96"/>
    </row>
    <row r="97" spans="1:13" x14ac:dyDescent="0.3">
      <c r="A97" s="48" t="s">
        <v>79</v>
      </c>
      <c r="B97" s="14" t="s">
        <v>103</v>
      </c>
      <c r="E97" s="13">
        <f t="shared" si="1"/>
        <v>0</v>
      </c>
      <c r="M97"/>
    </row>
    <row r="98" spans="1:13" x14ac:dyDescent="0.3">
      <c r="A98" s="48" t="s">
        <v>85</v>
      </c>
      <c r="B98" s="14" t="s">
        <v>98</v>
      </c>
      <c r="C98">
        <v>1200</v>
      </c>
      <c r="D98" s="12">
        <v>1</v>
      </c>
      <c r="E98" s="13">
        <f t="shared" si="1"/>
        <v>1200</v>
      </c>
      <c r="M98"/>
    </row>
    <row r="99" spans="1:13" x14ac:dyDescent="0.3">
      <c r="A99" s="48" t="s">
        <v>87</v>
      </c>
      <c r="B99" s="14" t="s">
        <v>99</v>
      </c>
      <c r="C99">
        <v>300</v>
      </c>
      <c r="D99" s="12">
        <v>1</v>
      </c>
      <c r="E99" s="13">
        <f t="shared" si="1"/>
        <v>300</v>
      </c>
      <c r="M99"/>
    </row>
    <row r="100" spans="1:13" x14ac:dyDescent="0.3">
      <c r="E100" s="13">
        <f t="shared" si="1"/>
        <v>0</v>
      </c>
      <c r="M100"/>
    </row>
    <row r="101" spans="1:13" x14ac:dyDescent="0.3">
      <c r="B101" t="s">
        <v>80</v>
      </c>
      <c r="E101" s="13">
        <f>SUM(E2:E100)</f>
        <v>8700</v>
      </c>
    </row>
    <row r="102" spans="1:13" x14ac:dyDescent="0.3">
      <c r="M10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05"/>
  <sheetViews>
    <sheetView topLeftCell="A87" zoomScale="99" workbookViewId="0">
      <selection activeCell="A39" sqref="A39:C39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ht="15" thickBot="1" x14ac:dyDescent="0.35">
      <c r="A1" s="18" t="s">
        <v>81</v>
      </c>
      <c r="B1" s="19" t="s">
        <v>1</v>
      </c>
      <c r="C1" s="19" t="s">
        <v>2</v>
      </c>
      <c r="D1" s="19" t="s">
        <v>3</v>
      </c>
      <c r="E1" s="19" t="s">
        <v>4</v>
      </c>
      <c r="F1" s="16"/>
      <c r="G1" s="17"/>
      <c r="H1" s="17"/>
    </row>
    <row r="2" spans="1:10" ht="15" thickBot="1" x14ac:dyDescent="0.35">
      <c r="A2" s="21">
        <v>1</v>
      </c>
      <c r="B2" s="22" t="s">
        <v>5</v>
      </c>
      <c r="C2" s="23"/>
      <c r="D2" s="23"/>
      <c r="E2" s="24" t="s">
        <v>82</v>
      </c>
      <c r="J2" s="32"/>
    </row>
    <row r="3" spans="1:10" ht="15" thickBot="1" x14ac:dyDescent="0.35">
      <c r="A3" s="26" t="s">
        <v>6</v>
      </c>
      <c r="B3" s="27" t="s">
        <v>7</v>
      </c>
      <c r="C3" s="28">
        <v>500</v>
      </c>
      <c r="D3" s="28"/>
      <c r="E3" s="39">
        <f>C3*D3</f>
        <v>0</v>
      </c>
      <c r="J3" s="32"/>
    </row>
    <row r="4" spans="1:10" ht="15" thickBot="1" x14ac:dyDescent="0.35">
      <c r="A4" s="26" t="s">
        <v>8</v>
      </c>
      <c r="B4" s="27" t="s">
        <v>9</v>
      </c>
      <c r="C4" s="28">
        <v>600</v>
      </c>
      <c r="D4" s="28"/>
      <c r="E4" s="39">
        <f t="shared" ref="E4:E75" si="0">C4*D4</f>
        <v>0</v>
      </c>
    </row>
    <row r="5" spans="1:10" ht="15" thickBot="1" x14ac:dyDescent="0.35">
      <c r="A5" s="26" t="s">
        <v>10</v>
      </c>
      <c r="B5" s="27" t="s">
        <v>11</v>
      </c>
      <c r="C5" s="28">
        <v>700</v>
      </c>
      <c r="D5" s="27"/>
      <c r="E5" s="39">
        <f t="shared" si="0"/>
        <v>0</v>
      </c>
    </row>
    <row r="6" spans="1:10" ht="15" thickBot="1" x14ac:dyDescent="0.35">
      <c r="A6" s="26" t="s">
        <v>12</v>
      </c>
      <c r="B6" s="27" t="s">
        <v>13</v>
      </c>
      <c r="C6" s="28">
        <v>800</v>
      </c>
      <c r="D6" s="28"/>
      <c r="E6" s="39">
        <f t="shared" si="0"/>
        <v>0</v>
      </c>
    </row>
    <row r="7" spans="1:10" ht="15" thickBot="1" x14ac:dyDescent="0.35">
      <c r="A7" s="26" t="s">
        <v>14</v>
      </c>
      <c r="B7" s="27" t="s">
        <v>15</v>
      </c>
      <c r="C7" s="28">
        <v>500</v>
      </c>
      <c r="D7" s="27"/>
      <c r="E7" s="39">
        <f t="shared" si="0"/>
        <v>0</v>
      </c>
    </row>
    <row r="8" spans="1:10" ht="15" thickBot="1" x14ac:dyDescent="0.35">
      <c r="A8" s="29"/>
      <c r="B8" s="27"/>
      <c r="C8" s="27"/>
      <c r="D8" s="27"/>
      <c r="E8" s="39">
        <f t="shared" si="0"/>
        <v>0</v>
      </c>
    </row>
    <row r="9" spans="1:10" ht="15" thickBot="1" x14ac:dyDescent="0.35">
      <c r="A9" s="21">
        <v>2</v>
      </c>
      <c r="B9" s="22" t="s">
        <v>16</v>
      </c>
      <c r="C9" s="23"/>
      <c r="D9" s="23"/>
      <c r="E9" s="39">
        <f t="shared" si="0"/>
        <v>0</v>
      </c>
    </row>
    <row r="10" spans="1:10" ht="15" thickBot="1" x14ac:dyDescent="0.35">
      <c r="A10" s="26" t="s">
        <v>6</v>
      </c>
      <c r="B10" s="27" t="s">
        <v>17</v>
      </c>
      <c r="C10" s="28">
        <v>400</v>
      </c>
      <c r="D10" s="27"/>
      <c r="E10" s="39">
        <f t="shared" si="0"/>
        <v>0</v>
      </c>
    </row>
    <row r="11" spans="1:10" ht="15" thickBot="1" x14ac:dyDescent="0.35">
      <c r="A11" s="26" t="s">
        <v>8</v>
      </c>
      <c r="B11" s="27" t="s">
        <v>18</v>
      </c>
      <c r="C11" s="28">
        <v>300</v>
      </c>
      <c r="D11" s="27"/>
      <c r="E11" s="39">
        <f t="shared" si="0"/>
        <v>0</v>
      </c>
      <c r="J11" s="32"/>
    </row>
    <row r="12" spans="1:10" ht="15" thickBot="1" x14ac:dyDescent="0.35">
      <c r="A12" s="26" t="s">
        <v>10</v>
      </c>
      <c r="B12" s="27" t="s">
        <v>19</v>
      </c>
      <c r="C12" s="30">
        <v>1500</v>
      </c>
      <c r="D12" s="27"/>
      <c r="E12" s="39">
        <f t="shared" si="0"/>
        <v>0</v>
      </c>
    </row>
    <row r="13" spans="1:10" ht="15" thickBot="1" x14ac:dyDescent="0.35">
      <c r="A13" s="26" t="s">
        <v>12</v>
      </c>
      <c r="B13" s="27" t="s">
        <v>20</v>
      </c>
      <c r="C13" s="28">
        <v>700</v>
      </c>
      <c r="D13" s="27"/>
      <c r="E13" s="39">
        <f t="shared" si="0"/>
        <v>0</v>
      </c>
    </row>
    <row r="14" spans="1:10" ht="15" thickBot="1" x14ac:dyDescent="0.35">
      <c r="A14" s="26" t="s">
        <v>14</v>
      </c>
      <c r="B14" s="27" t="s">
        <v>21</v>
      </c>
      <c r="C14" s="30">
        <v>1500</v>
      </c>
      <c r="D14" s="27"/>
      <c r="E14" s="39">
        <f t="shared" si="0"/>
        <v>0</v>
      </c>
    </row>
    <row r="15" spans="1:10" ht="15" thickBot="1" x14ac:dyDescent="0.35">
      <c r="A15" s="26" t="s">
        <v>22</v>
      </c>
      <c r="B15" s="27" t="s">
        <v>23</v>
      </c>
      <c r="C15" s="28">
        <v>400</v>
      </c>
      <c r="D15" s="28"/>
      <c r="E15" s="39">
        <f t="shared" si="0"/>
        <v>0</v>
      </c>
    </row>
    <row r="16" spans="1:10" ht="15" thickBot="1" x14ac:dyDescent="0.35">
      <c r="A16" s="26" t="s">
        <v>24</v>
      </c>
      <c r="B16" s="27" t="s">
        <v>25</v>
      </c>
      <c r="C16" s="28">
        <v>300</v>
      </c>
      <c r="D16" s="28"/>
      <c r="E16" s="39">
        <f t="shared" si="0"/>
        <v>0</v>
      </c>
      <c r="J16" s="32"/>
    </row>
    <row r="17" spans="1:5" ht="15" thickBot="1" x14ac:dyDescent="0.35">
      <c r="A17" s="26" t="s">
        <v>26</v>
      </c>
      <c r="B17" s="27" t="s">
        <v>27</v>
      </c>
      <c r="C17" s="28">
        <v>200</v>
      </c>
      <c r="D17" s="27"/>
      <c r="E17" s="39">
        <f t="shared" si="0"/>
        <v>0</v>
      </c>
    </row>
    <row r="18" spans="1:5" ht="15" thickBot="1" x14ac:dyDescent="0.35">
      <c r="A18" s="26" t="s">
        <v>28</v>
      </c>
      <c r="B18" s="27" t="s">
        <v>29</v>
      </c>
      <c r="C18" s="28">
        <v>300</v>
      </c>
      <c r="D18" s="28"/>
      <c r="E18" s="39">
        <f t="shared" si="0"/>
        <v>0</v>
      </c>
    </row>
    <row r="19" spans="1:5" ht="15" thickBot="1" x14ac:dyDescent="0.35">
      <c r="A19" s="26" t="s">
        <v>30</v>
      </c>
      <c r="B19" s="27" t="s">
        <v>31</v>
      </c>
      <c r="C19" s="28">
        <v>400</v>
      </c>
      <c r="D19" s="28"/>
      <c r="E19" s="39">
        <f t="shared" si="0"/>
        <v>0</v>
      </c>
    </row>
    <row r="20" spans="1:5" ht="15" thickBot="1" x14ac:dyDescent="0.35">
      <c r="A20" s="26" t="s">
        <v>32</v>
      </c>
      <c r="B20" s="27" t="s">
        <v>33</v>
      </c>
      <c r="C20" s="28">
        <v>150</v>
      </c>
      <c r="D20" s="28"/>
      <c r="E20" s="39">
        <f t="shared" si="0"/>
        <v>0</v>
      </c>
    </row>
    <row r="21" spans="1:5" ht="15" thickBot="1" x14ac:dyDescent="0.35">
      <c r="A21" s="26" t="s">
        <v>34</v>
      </c>
      <c r="B21" s="27" t="s">
        <v>35</v>
      </c>
      <c r="C21" s="28">
        <v>400</v>
      </c>
      <c r="D21" s="28"/>
      <c r="E21" s="39">
        <f t="shared" si="0"/>
        <v>0</v>
      </c>
    </row>
    <row r="22" spans="1:5" ht="15" thickBot="1" x14ac:dyDescent="0.35">
      <c r="A22" s="26" t="s">
        <v>66</v>
      </c>
      <c r="B22" t="s">
        <v>91</v>
      </c>
      <c r="C22" s="28">
        <v>500</v>
      </c>
      <c r="D22" s="28"/>
      <c r="E22" s="39">
        <f t="shared" si="0"/>
        <v>0</v>
      </c>
    </row>
    <row r="23" spans="1:5" ht="15" thickBot="1" x14ac:dyDescent="0.35">
      <c r="A23" s="26" t="s">
        <v>68</v>
      </c>
      <c r="B23" t="s">
        <v>92</v>
      </c>
      <c r="C23" s="28">
        <v>400</v>
      </c>
      <c r="D23" s="28"/>
      <c r="E23" s="39">
        <f t="shared" si="0"/>
        <v>0</v>
      </c>
    </row>
    <row r="24" spans="1:5" ht="15" thickBot="1" x14ac:dyDescent="0.35">
      <c r="A24" s="26" t="s">
        <v>70</v>
      </c>
      <c r="B24" t="s">
        <v>94</v>
      </c>
      <c r="C24" s="28">
        <v>500</v>
      </c>
      <c r="D24" s="28"/>
      <c r="E24" s="39">
        <f t="shared" si="0"/>
        <v>0</v>
      </c>
    </row>
    <row r="25" spans="1:5" ht="15" thickBot="1" x14ac:dyDescent="0.35">
      <c r="A25" s="26" t="s">
        <v>72</v>
      </c>
      <c r="B25" t="s">
        <v>93</v>
      </c>
      <c r="C25" s="28">
        <v>400</v>
      </c>
      <c r="D25" s="28"/>
      <c r="E25" s="39">
        <f t="shared" si="0"/>
        <v>0</v>
      </c>
    </row>
    <row r="26" spans="1:5" ht="15" thickBot="1" x14ac:dyDescent="0.35">
      <c r="A26" s="29"/>
      <c r="B26" s="27"/>
      <c r="C26" s="27"/>
      <c r="D26" s="27"/>
      <c r="E26" s="39">
        <f t="shared" si="0"/>
        <v>0</v>
      </c>
    </row>
    <row r="27" spans="1:5" ht="15" thickBot="1" x14ac:dyDescent="0.35">
      <c r="A27" s="21">
        <v>3</v>
      </c>
      <c r="B27" s="22" t="s">
        <v>36</v>
      </c>
      <c r="C27" s="23"/>
      <c r="D27" s="23"/>
      <c r="E27" s="39">
        <f t="shared" si="0"/>
        <v>0</v>
      </c>
    </row>
    <row r="28" spans="1:5" ht="15" thickBot="1" x14ac:dyDescent="0.35">
      <c r="A28" s="26" t="s">
        <v>6</v>
      </c>
      <c r="B28" s="27" t="s">
        <v>37</v>
      </c>
      <c r="C28" s="28">
        <v>5000</v>
      </c>
      <c r="D28" s="28">
        <v>1</v>
      </c>
      <c r="E28" s="39">
        <f t="shared" si="0"/>
        <v>5000</v>
      </c>
    </row>
    <row r="29" spans="1:5" ht="15" thickBot="1" x14ac:dyDescent="0.35">
      <c r="A29" s="26" t="s">
        <v>8</v>
      </c>
      <c r="B29" s="47" t="s">
        <v>38</v>
      </c>
      <c r="C29" s="28">
        <v>20000</v>
      </c>
      <c r="D29" s="28">
        <v>1</v>
      </c>
      <c r="E29" s="39">
        <f t="shared" si="0"/>
        <v>20000</v>
      </c>
    </row>
    <row r="30" spans="1:5" ht="15" thickBot="1" x14ac:dyDescent="0.35">
      <c r="A30" s="26" t="s">
        <v>10</v>
      </c>
      <c r="B30" s="27" t="s">
        <v>39</v>
      </c>
      <c r="C30" s="27"/>
      <c r="D30" s="27"/>
      <c r="E30" s="39">
        <f t="shared" si="0"/>
        <v>0</v>
      </c>
    </row>
    <row r="31" spans="1:5" ht="15" thickBot="1" x14ac:dyDescent="0.35">
      <c r="A31" s="26" t="s">
        <v>12</v>
      </c>
      <c r="B31" s="27" t="s">
        <v>40</v>
      </c>
      <c r="C31" s="27"/>
      <c r="D31" s="27"/>
      <c r="E31" s="39">
        <f t="shared" si="0"/>
        <v>0</v>
      </c>
    </row>
    <row r="32" spans="1:5" ht="15" thickBot="1" x14ac:dyDescent="0.35">
      <c r="A32" s="26" t="s">
        <v>14</v>
      </c>
      <c r="B32" s="27" t="s">
        <v>41</v>
      </c>
      <c r="C32" s="27">
        <v>9000</v>
      </c>
      <c r="D32" s="27"/>
      <c r="E32" s="39">
        <f t="shared" si="0"/>
        <v>0</v>
      </c>
    </row>
    <row r="33" spans="1:10" ht="15" thickBot="1" x14ac:dyDescent="0.35">
      <c r="A33" s="26" t="s">
        <v>22</v>
      </c>
      <c r="B33" s="27" t="s">
        <v>42</v>
      </c>
      <c r="C33" s="28">
        <v>1</v>
      </c>
      <c r="D33" s="27"/>
      <c r="E33" s="39">
        <f t="shared" si="0"/>
        <v>0</v>
      </c>
      <c r="J33" s="32"/>
    </row>
    <row r="34" spans="1:10" ht="15" thickBot="1" x14ac:dyDescent="0.35">
      <c r="A34" s="26" t="s">
        <v>24</v>
      </c>
      <c r="B34" s="27" t="s">
        <v>83</v>
      </c>
      <c r="C34" s="30">
        <v>1000</v>
      </c>
      <c r="D34" s="28"/>
      <c r="E34" s="39">
        <f t="shared" si="0"/>
        <v>0</v>
      </c>
    </row>
    <row r="35" spans="1:10" ht="15" thickBot="1" x14ac:dyDescent="0.35">
      <c r="A35" s="43" t="s">
        <v>26</v>
      </c>
      <c r="B35" s="44" t="s">
        <v>43</v>
      </c>
      <c r="C35" s="45">
        <v>1500</v>
      </c>
      <c r="D35" s="46"/>
      <c r="E35" s="39">
        <f t="shared" si="0"/>
        <v>0</v>
      </c>
    </row>
    <row r="36" spans="1:10" ht="15" thickBot="1" x14ac:dyDescent="0.35">
      <c r="A36" s="11" t="s">
        <v>28</v>
      </c>
      <c r="B36" t="s">
        <v>89</v>
      </c>
      <c r="C36" s="12">
        <v>500</v>
      </c>
      <c r="D36"/>
      <c r="E36" s="39">
        <f t="shared" si="0"/>
        <v>0</v>
      </c>
    </row>
    <row r="37" spans="1:10" ht="15" thickBot="1" x14ac:dyDescent="0.35">
      <c r="A37" s="11" t="s">
        <v>30</v>
      </c>
      <c r="B37" t="s">
        <v>90</v>
      </c>
      <c r="C37" s="12">
        <v>2000</v>
      </c>
      <c r="D37"/>
      <c r="E37" s="39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ref="E38" si="1">D38*C38</f>
        <v>0</v>
      </c>
    </row>
    <row r="39" spans="1:10" ht="15" thickBot="1" x14ac:dyDescent="0.35">
      <c r="A39" s="11" t="s">
        <v>34</v>
      </c>
      <c r="B39" t="s">
        <v>114</v>
      </c>
      <c r="C39" s="12">
        <f>100</f>
        <v>100</v>
      </c>
      <c r="D39"/>
    </row>
    <row r="40" spans="1:10" ht="15" thickBot="1" x14ac:dyDescent="0.35">
      <c r="A40" s="27"/>
      <c r="B40" s="27"/>
      <c r="C40" s="27"/>
      <c r="D40" s="27"/>
      <c r="E40" s="39">
        <f t="shared" si="0"/>
        <v>0</v>
      </c>
    </row>
    <row r="41" spans="1:10" ht="15" thickBot="1" x14ac:dyDescent="0.35">
      <c r="A41" s="21">
        <v>4</v>
      </c>
      <c r="B41" s="22" t="s">
        <v>44</v>
      </c>
      <c r="C41" s="23"/>
      <c r="D41" s="23"/>
      <c r="E41" s="39">
        <f t="shared" si="0"/>
        <v>0</v>
      </c>
    </row>
    <row r="42" spans="1:10" ht="15" thickBot="1" x14ac:dyDescent="0.35">
      <c r="A42" s="26" t="s">
        <v>6</v>
      </c>
      <c r="B42" s="27" t="s">
        <v>45</v>
      </c>
      <c r="C42" s="30">
        <v>400</v>
      </c>
      <c r="D42" s="28"/>
      <c r="E42" s="39">
        <f t="shared" si="0"/>
        <v>0</v>
      </c>
    </row>
    <row r="43" spans="1:10" ht="15" thickBot="1" x14ac:dyDescent="0.35">
      <c r="A43" s="26" t="s">
        <v>8</v>
      </c>
      <c r="B43" s="27" t="s">
        <v>46</v>
      </c>
      <c r="C43" s="28">
        <v>100</v>
      </c>
      <c r="D43" s="28"/>
      <c r="E43" s="39">
        <f t="shared" si="0"/>
        <v>0</v>
      </c>
    </row>
    <row r="44" spans="1:10" ht="15" thickBot="1" x14ac:dyDescent="0.35">
      <c r="A44" s="26" t="s">
        <v>10</v>
      </c>
      <c r="B44" s="27" t="s">
        <v>47</v>
      </c>
      <c r="C44" s="27"/>
      <c r="D44" s="27"/>
      <c r="E44" s="39">
        <f t="shared" si="0"/>
        <v>0</v>
      </c>
    </row>
    <row r="45" spans="1:10" ht="15" thickBot="1" x14ac:dyDescent="0.35">
      <c r="A45" s="26" t="s">
        <v>12</v>
      </c>
      <c r="B45" s="27" t="s">
        <v>48</v>
      </c>
      <c r="C45" s="27"/>
      <c r="D45" s="27"/>
      <c r="E45" s="39">
        <f t="shared" si="0"/>
        <v>0</v>
      </c>
    </row>
    <row r="46" spans="1:10" ht="15" thickBot="1" x14ac:dyDescent="0.35">
      <c r="A46" s="26" t="s">
        <v>14</v>
      </c>
      <c r="B46" s="27" t="s">
        <v>49</v>
      </c>
      <c r="C46" s="27"/>
      <c r="D46" s="27"/>
      <c r="E46" s="39">
        <f t="shared" si="0"/>
        <v>0</v>
      </c>
    </row>
    <row r="47" spans="1:10" ht="15" thickBot="1" x14ac:dyDescent="0.35">
      <c r="A47" s="27"/>
      <c r="B47" s="27"/>
      <c r="C47" s="27"/>
      <c r="D47" s="27"/>
      <c r="E47" s="39">
        <f t="shared" si="0"/>
        <v>0</v>
      </c>
    </row>
    <row r="48" spans="1:10" ht="15" thickBot="1" x14ac:dyDescent="0.35">
      <c r="A48" s="21">
        <v>5</v>
      </c>
      <c r="B48" s="22" t="s">
        <v>50</v>
      </c>
      <c r="C48" s="23"/>
      <c r="D48" s="23"/>
      <c r="E48" s="39">
        <f t="shared" si="0"/>
        <v>0</v>
      </c>
    </row>
    <row r="49" spans="1:5" ht="15" thickBot="1" x14ac:dyDescent="0.35">
      <c r="A49" s="26" t="s">
        <v>6</v>
      </c>
      <c r="B49" s="47" t="s">
        <v>51</v>
      </c>
      <c r="C49" s="28">
        <v>100</v>
      </c>
      <c r="D49" s="28"/>
      <c r="E49" s="39">
        <f t="shared" si="0"/>
        <v>0</v>
      </c>
    </row>
    <row r="50" spans="1:5" ht="15" thickBot="1" x14ac:dyDescent="0.35">
      <c r="A50" s="26" t="s">
        <v>8</v>
      </c>
      <c r="B50" s="27" t="s">
        <v>52</v>
      </c>
      <c r="C50" s="28">
        <v>200</v>
      </c>
      <c r="D50" s="27"/>
      <c r="E50" s="39">
        <f t="shared" si="0"/>
        <v>0</v>
      </c>
    </row>
    <row r="51" spans="1:5" ht="15" thickBot="1" x14ac:dyDescent="0.35">
      <c r="A51" s="29"/>
      <c r="B51" s="27"/>
      <c r="C51" s="27"/>
      <c r="D51" s="27"/>
      <c r="E51" s="39">
        <f t="shared" si="0"/>
        <v>0</v>
      </c>
    </row>
    <row r="52" spans="1:5" ht="15" thickBot="1" x14ac:dyDescent="0.35">
      <c r="A52" s="21">
        <v>6</v>
      </c>
      <c r="B52" s="22" t="s">
        <v>53</v>
      </c>
      <c r="C52" s="23"/>
      <c r="D52" s="23"/>
      <c r="E52" s="39">
        <f t="shared" si="0"/>
        <v>0</v>
      </c>
    </row>
    <row r="53" spans="1:5" ht="15" thickBot="1" x14ac:dyDescent="0.35">
      <c r="A53" s="26" t="s">
        <v>6</v>
      </c>
      <c r="B53" s="27" t="s">
        <v>54</v>
      </c>
      <c r="C53" s="30">
        <v>8900</v>
      </c>
      <c r="D53" s="28"/>
      <c r="E53" s="39">
        <f t="shared" si="0"/>
        <v>0</v>
      </c>
    </row>
    <row r="54" spans="1:5" ht="15" thickBot="1" x14ac:dyDescent="0.35">
      <c r="A54" s="26" t="s">
        <v>8</v>
      </c>
      <c r="B54" s="27" t="s">
        <v>55</v>
      </c>
      <c r="C54" s="28">
        <v>300</v>
      </c>
      <c r="D54" s="27"/>
      <c r="E54" s="39">
        <f t="shared" si="0"/>
        <v>0</v>
      </c>
    </row>
    <row r="55" spans="1:5" ht="15" thickBot="1" x14ac:dyDescent="0.35">
      <c r="A55" s="26" t="s">
        <v>10</v>
      </c>
      <c r="B55" s="27" t="s">
        <v>56</v>
      </c>
      <c r="C55" s="28">
        <v>300</v>
      </c>
      <c r="D55" s="27">
        <v>4</v>
      </c>
      <c r="E55" s="39">
        <f t="shared" si="0"/>
        <v>1200</v>
      </c>
    </row>
    <row r="56" spans="1:5" ht="15" thickBot="1" x14ac:dyDescent="0.35">
      <c r="A56" s="26" t="s">
        <v>12</v>
      </c>
      <c r="B56" s="27" t="s">
        <v>57</v>
      </c>
      <c r="C56" s="28">
        <v>800</v>
      </c>
      <c r="D56" s="27"/>
      <c r="E56" s="39">
        <f t="shared" si="0"/>
        <v>0</v>
      </c>
    </row>
    <row r="57" spans="1:5" ht="15" thickBot="1" x14ac:dyDescent="0.35">
      <c r="A57" s="26" t="s">
        <v>14</v>
      </c>
      <c r="B57" s="27" t="s">
        <v>58</v>
      </c>
      <c r="C57" s="28">
        <v>300</v>
      </c>
      <c r="D57" s="27"/>
      <c r="E57" s="39">
        <f t="shared" si="0"/>
        <v>0</v>
      </c>
    </row>
    <row r="58" spans="1:5" ht="15" thickBot="1" x14ac:dyDescent="0.35">
      <c r="A58" s="26" t="s">
        <v>22</v>
      </c>
      <c r="B58" s="27" t="s">
        <v>59</v>
      </c>
      <c r="C58" s="28">
        <v>300</v>
      </c>
      <c r="D58" s="27"/>
      <c r="E58" s="39">
        <f t="shared" si="0"/>
        <v>0</v>
      </c>
    </row>
    <row r="59" spans="1:5" ht="15" thickBot="1" x14ac:dyDescent="0.35">
      <c r="A59" s="26" t="s">
        <v>24</v>
      </c>
      <c r="B59" s="27" t="s">
        <v>60</v>
      </c>
      <c r="C59" s="30">
        <v>1000</v>
      </c>
      <c r="D59" s="28"/>
      <c r="E59" s="39">
        <f t="shared" si="0"/>
        <v>0</v>
      </c>
    </row>
    <row r="60" spans="1:5" ht="15" thickBot="1" x14ac:dyDescent="0.35">
      <c r="A60" s="26" t="s">
        <v>26</v>
      </c>
      <c r="B60" s="27" t="s">
        <v>61</v>
      </c>
      <c r="C60" s="28">
        <v>300</v>
      </c>
      <c r="D60" s="27"/>
      <c r="E60" s="39">
        <f t="shared" si="0"/>
        <v>0</v>
      </c>
    </row>
    <row r="61" spans="1:5" ht="15" thickBot="1" x14ac:dyDescent="0.35">
      <c r="A61" s="26" t="s">
        <v>28</v>
      </c>
      <c r="B61" s="27" t="s">
        <v>62</v>
      </c>
      <c r="C61" s="28">
        <v>500</v>
      </c>
      <c r="D61" s="27"/>
      <c r="E61" s="39">
        <f t="shared" si="0"/>
        <v>0</v>
      </c>
    </row>
    <row r="62" spans="1:5" ht="15" thickBot="1" x14ac:dyDescent="0.35">
      <c r="A62" s="26" t="s">
        <v>30</v>
      </c>
      <c r="B62" s="27" t="s">
        <v>63</v>
      </c>
      <c r="C62" s="28">
        <f>6250/12</f>
        <v>520.83333333333337</v>
      </c>
      <c r="D62" s="27">
        <v>12</v>
      </c>
      <c r="E62" s="39">
        <f t="shared" si="0"/>
        <v>6250</v>
      </c>
    </row>
    <row r="63" spans="1:5" ht="15" thickBot="1" x14ac:dyDescent="0.35">
      <c r="A63" s="26" t="s">
        <v>32</v>
      </c>
      <c r="B63" s="27" t="s">
        <v>64</v>
      </c>
      <c r="C63" s="28">
        <v>800</v>
      </c>
      <c r="D63" s="27"/>
      <c r="E63" s="39">
        <f t="shared" si="0"/>
        <v>0</v>
      </c>
    </row>
    <row r="64" spans="1:5" ht="15" thickBot="1" x14ac:dyDescent="0.35">
      <c r="A64" s="26" t="s">
        <v>34</v>
      </c>
      <c r="B64" s="27" t="s">
        <v>65</v>
      </c>
      <c r="C64" s="28">
        <v>300</v>
      </c>
      <c r="D64" s="27"/>
      <c r="E64" s="39">
        <f t="shared" si="0"/>
        <v>0</v>
      </c>
    </row>
    <row r="65" spans="1:13" ht="15" thickBot="1" x14ac:dyDescent="0.35">
      <c r="A65" s="26" t="s">
        <v>66</v>
      </c>
      <c r="B65" s="27" t="s">
        <v>67</v>
      </c>
      <c r="C65" s="28">
        <v>300</v>
      </c>
      <c r="D65" s="27"/>
      <c r="E65" s="39">
        <f t="shared" si="0"/>
        <v>0</v>
      </c>
    </row>
    <row r="66" spans="1:13" ht="15" thickBot="1" x14ac:dyDescent="0.35">
      <c r="A66" s="26" t="s">
        <v>68</v>
      </c>
      <c r="B66" s="27" t="s">
        <v>69</v>
      </c>
      <c r="C66" s="28">
        <v>600</v>
      </c>
      <c r="D66" s="27"/>
      <c r="E66" s="39">
        <f t="shared" si="0"/>
        <v>0</v>
      </c>
    </row>
    <row r="67" spans="1:13" ht="15" thickBot="1" x14ac:dyDescent="0.35">
      <c r="A67" s="26" t="s">
        <v>70</v>
      </c>
      <c r="B67" s="27" t="s">
        <v>71</v>
      </c>
      <c r="C67" s="28">
        <v>1500</v>
      </c>
      <c r="D67" s="27"/>
      <c r="E67" s="39">
        <f t="shared" si="0"/>
        <v>0</v>
      </c>
    </row>
    <row r="68" spans="1:13" ht="15" thickBot="1" x14ac:dyDescent="0.35">
      <c r="A68" s="26" t="s">
        <v>72</v>
      </c>
      <c r="B68" s="27" t="s">
        <v>73</v>
      </c>
      <c r="C68" s="30">
        <v>1000</v>
      </c>
      <c r="D68" s="27"/>
      <c r="E68" s="39">
        <f t="shared" si="0"/>
        <v>0</v>
      </c>
    </row>
    <row r="69" spans="1:13" ht="15" thickBot="1" x14ac:dyDescent="0.35">
      <c r="A69" s="26" t="s">
        <v>74</v>
      </c>
      <c r="B69" s="27" t="s">
        <v>75</v>
      </c>
      <c r="C69" s="30">
        <v>2000</v>
      </c>
      <c r="D69" s="27"/>
      <c r="E69" s="39">
        <f t="shared" si="0"/>
        <v>0</v>
      </c>
      <c r="M69"/>
    </row>
    <row r="70" spans="1:13" ht="15" thickBot="1" x14ac:dyDescent="0.35">
      <c r="A70" s="11" t="s">
        <v>79</v>
      </c>
      <c r="B70" s="14" t="s">
        <v>84</v>
      </c>
      <c r="C70" s="12">
        <v>400</v>
      </c>
      <c r="D70"/>
      <c r="E70" s="39">
        <f t="shared" si="0"/>
        <v>0</v>
      </c>
      <c r="M70"/>
    </row>
    <row r="71" spans="1:13" ht="15" thickBot="1" x14ac:dyDescent="0.35">
      <c r="A71" s="11" t="s">
        <v>85</v>
      </c>
      <c r="B71" s="14" t="s">
        <v>86</v>
      </c>
      <c r="C71" s="12">
        <v>300</v>
      </c>
      <c r="D71"/>
      <c r="E71" s="39">
        <f t="shared" si="0"/>
        <v>0</v>
      </c>
      <c r="M71"/>
    </row>
    <row r="72" spans="1:13" ht="15" thickBot="1" x14ac:dyDescent="0.35">
      <c r="A72" s="11" t="s">
        <v>87</v>
      </c>
      <c r="B72" s="14" t="s">
        <v>88</v>
      </c>
      <c r="C72" s="12">
        <v>500</v>
      </c>
      <c r="D72"/>
      <c r="E72" s="39">
        <f t="shared" si="0"/>
        <v>0</v>
      </c>
      <c r="M72"/>
    </row>
    <row r="73" spans="1:13" ht="15" thickBot="1" x14ac:dyDescent="0.35">
      <c r="A73" s="11" t="s">
        <v>106</v>
      </c>
      <c r="B73" s="14" t="s">
        <v>107</v>
      </c>
      <c r="C73" s="12"/>
      <c r="D73"/>
      <c r="E73" s="39"/>
      <c r="M73"/>
    </row>
    <row r="74" spans="1:13" ht="15" thickBot="1" x14ac:dyDescent="0.35">
      <c r="A74" s="27"/>
      <c r="B74" s="27"/>
      <c r="C74" s="27"/>
      <c r="D74" s="27"/>
      <c r="E74" s="39">
        <f t="shared" si="0"/>
        <v>0</v>
      </c>
      <c r="M74"/>
    </row>
    <row r="75" spans="1:13" ht="15" thickBot="1" x14ac:dyDescent="0.35">
      <c r="A75" s="31">
        <v>7</v>
      </c>
      <c r="B75" s="22" t="s">
        <v>76</v>
      </c>
      <c r="C75" s="23"/>
      <c r="D75" s="23"/>
      <c r="E75" s="39">
        <f t="shared" si="0"/>
        <v>0</v>
      </c>
      <c r="M75"/>
    </row>
    <row r="76" spans="1:13" ht="15" thickBot="1" x14ac:dyDescent="0.35">
      <c r="A76" s="26" t="s">
        <v>6</v>
      </c>
      <c r="B76" s="27" t="s">
        <v>77</v>
      </c>
      <c r="C76" s="27"/>
      <c r="D76" s="27"/>
      <c r="E76" s="39">
        <f t="shared" ref="E76:E104" si="2">C76*D76</f>
        <v>0</v>
      </c>
      <c r="M76"/>
    </row>
    <row r="77" spans="1:13" ht="15" thickBot="1" x14ac:dyDescent="0.35">
      <c r="A77" s="26" t="s">
        <v>8</v>
      </c>
      <c r="B77" s="27" t="s">
        <v>78</v>
      </c>
      <c r="C77" s="28">
        <v>2000</v>
      </c>
      <c r="D77" s="27"/>
      <c r="E77" s="39">
        <f t="shared" si="2"/>
        <v>0</v>
      </c>
      <c r="M77"/>
    </row>
    <row r="78" spans="1:13" ht="15" thickBot="1" x14ac:dyDescent="0.35">
      <c r="E78" s="39">
        <f t="shared" si="2"/>
        <v>0</v>
      </c>
      <c r="J78" s="14"/>
      <c r="L78" s="12"/>
    </row>
    <row r="79" spans="1:13" ht="15" thickBot="1" x14ac:dyDescent="0.35">
      <c r="A79" s="15">
        <v>8</v>
      </c>
      <c r="B79" s="7" t="s">
        <v>96</v>
      </c>
      <c r="C79" s="9"/>
      <c r="D79" s="8"/>
      <c r="E79" s="39">
        <f t="shared" si="2"/>
        <v>0</v>
      </c>
      <c r="J79" s="14"/>
      <c r="L79" s="12"/>
    </row>
    <row r="80" spans="1:13" ht="15" thickBot="1" x14ac:dyDescent="0.35">
      <c r="A80" s="48" t="s">
        <v>6</v>
      </c>
      <c r="B80" s="14" t="s">
        <v>116</v>
      </c>
      <c r="D80" s="48"/>
      <c r="E80" s="39">
        <f t="shared" si="2"/>
        <v>0</v>
      </c>
      <c r="J80" s="14"/>
      <c r="L80" s="12"/>
    </row>
    <row r="81" spans="1:13" ht="15" thickBot="1" x14ac:dyDescent="0.35">
      <c r="A81" s="48" t="s">
        <v>8</v>
      </c>
      <c r="B81" s="14" t="s">
        <v>117</v>
      </c>
      <c r="E81" s="39">
        <f t="shared" si="2"/>
        <v>0</v>
      </c>
      <c r="J81" s="14"/>
      <c r="L81" s="12"/>
    </row>
    <row r="82" spans="1:13" ht="15" thickBot="1" x14ac:dyDescent="0.35">
      <c r="A82" s="48" t="s">
        <v>10</v>
      </c>
      <c r="B82" s="14" t="s">
        <v>97</v>
      </c>
      <c r="E82" s="39">
        <f t="shared" si="2"/>
        <v>0</v>
      </c>
    </row>
    <row r="83" spans="1:13" ht="15" thickBot="1" x14ac:dyDescent="0.35">
      <c r="A83" s="48" t="s">
        <v>12</v>
      </c>
      <c r="B83" s="14" t="s">
        <v>118</v>
      </c>
      <c r="E83" s="39">
        <f t="shared" si="2"/>
        <v>0</v>
      </c>
      <c r="J83" s="14"/>
      <c r="L83" s="12"/>
      <c r="M83"/>
    </row>
    <row r="84" spans="1:13" ht="15" thickBot="1" x14ac:dyDescent="0.35">
      <c r="A84" s="48" t="s">
        <v>14</v>
      </c>
      <c r="B84" s="14" t="s">
        <v>108</v>
      </c>
      <c r="E84" s="39">
        <f t="shared" si="2"/>
        <v>0</v>
      </c>
      <c r="J84" s="14"/>
      <c r="L84" s="12"/>
      <c r="M84"/>
    </row>
    <row r="85" spans="1:13" ht="15" thickBot="1" x14ac:dyDescent="0.35">
      <c r="A85" s="48" t="s">
        <v>22</v>
      </c>
      <c r="B85" s="14" t="s">
        <v>119</v>
      </c>
      <c r="E85" s="39">
        <f t="shared" si="2"/>
        <v>0</v>
      </c>
      <c r="J85" s="14"/>
      <c r="L85" s="12"/>
      <c r="M85"/>
    </row>
    <row r="86" spans="1:13" ht="15" thickBot="1" x14ac:dyDescent="0.35">
      <c r="A86" s="48" t="s">
        <v>24</v>
      </c>
      <c r="B86" s="14" t="s">
        <v>100</v>
      </c>
      <c r="C86">
        <v>800</v>
      </c>
      <c r="D86" s="12">
        <v>1</v>
      </c>
      <c r="E86" s="39">
        <f t="shared" si="2"/>
        <v>800</v>
      </c>
      <c r="J86" s="14"/>
      <c r="L86" s="12"/>
      <c r="M86"/>
    </row>
    <row r="87" spans="1:13" ht="15" thickBot="1" x14ac:dyDescent="0.35">
      <c r="A87" s="48" t="s">
        <v>26</v>
      </c>
      <c r="B87" s="14" t="s">
        <v>102</v>
      </c>
      <c r="E87" s="39">
        <f t="shared" si="2"/>
        <v>0</v>
      </c>
      <c r="J87" s="14"/>
      <c r="L87" s="12"/>
      <c r="M87"/>
    </row>
    <row r="88" spans="1:13" ht="15" thickBot="1" x14ac:dyDescent="0.35">
      <c r="A88" s="48" t="s">
        <v>28</v>
      </c>
      <c r="B88" s="14" t="s">
        <v>104</v>
      </c>
      <c r="E88" s="39">
        <f t="shared" si="2"/>
        <v>0</v>
      </c>
      <c r="J88" s="14"/>
      <c r="L88" s="12"/>
      <c r="M88"/>
    </row>
    <row r="89" spans="1:13" ht="15" thickBot="1" x14ac:dyDescent="0.35">
      <c r="A89" s="48" t="s">
        <v>30</v>
      </c>
      <c r="B89" s="14" t="s">
        <v>109</v>
      </c>
      <c r="E89" s="39">
        <f t="shared" si="2"/>
        <v>0</v>
      </c>
      <c r="J89" s="14"/>
      <c r="L89" s="12"/>
      <c r="M89"/>
    </row>
    <row r="90" spans="1:13" ht="15" thickBot="1" x14ac:dyDescent="0.35">
      <c r="A90" s="48" t="s">
        <v>32</v>
      </c>
      <c r="B90" s="14" t="s">
        <v>110</v>
      </c>
      <c r="E90" s="39">
        <f t="shared" si="2"/>
        <v>0</v>
      </c>
      <c r="J90" s="14"/>
      <c r="L90" s="12"/>
      <c r="M90"/>
    </row>
    <row r="91" spans="1:13" ht="15" thickBot="1" x14ac:dyDescent="0.35">
      <c r="A91" s="48" t="s">
        <v>34</v>
      </c>
      <c r="B91" s="14" t="s">
        <v>111</v>
      </c>
      <c r="E91" s="39">
        <f t="shared" si="2"/>
        <v>0</v>
      </c>
      <c r="J91" s="14"/>
      <c r="L91" s="12"/>
      <c r="M91"/>
    </row>
    <row r="92" spans="1:13" ht="15" thickBot="1" x14ac:dyDescent="0.35">
      <c r="A92" s="48" t="s">
        <v>66</v>
      </c>
      <c r="B92" s="14" t="s">
        <v>112</v>
      </c>
      <c r="E92" s="39">
        <f t="shared" si="2"/>
        <v>0</v>
      </c>
      <c r="J92" s="14"/>
      <c r="L92" s="12"/>
      <c r="M92"/>
    </row>
    <row r="93" spans="1:13" ht="15" thickBot="1" x14ac:dyDescent="0.35">
      <c r="A93" s="48" t="s">
        <v>68</v>
      </c>
      <c r="B93" s="14" t="s">
        <v>121</v>
      </c>
      <c r="C93">
        <v>640</v>
      </c>
      <c r="D93" s="12">
        <v>10</v>
      </c>
      <c r="E93" s="39">
        <f t="shared" si="2"/>
        <v>6400</v>
      </c>
      <c r="J93" s="14"/>
      <c r="L93" s="12"/>
      <c r="M93"/>
    </row>
    <row r="94" spans="1:13" ht="15" thickBot="1" x14ac:dyDescent="0.35">
      <c r="A94" s="48" t="s">
        <v>70</v>
      </c>
      <c r="B94" s="14" t="s">
        <v>105</v>
      </c>
      <c r="E94" s="39">
        <f t="shared" si="2"/>
        <v>0</v>
      </c>
      <c r="J94" s="14"/>
      <c r="L94" s="12"/>
      <c r="M94"/>
    </row>
    <row r="95" spans="1:13" ht="15" thickBot="1" x14ac:dyDescent="0.35">
      <c r="A95" s="48" t="s">
        <v>72</v>
      </c>
      <c r="B95" s="14" t="s">
        <v>120</v>
      </c>
      <c r="E95" s="39">
        <f t="shared" si="2"/>
        <v>0</v>
      </c>
      <c r="J95" s="14"/>
      <c r="L95" s="12"/>
      <c r="M95"/>
    </row>
    <row r="96" spans="1:13" ht="15" thickBot="1" x14ac:dyDescent="0.35">
      <c r="A96" s="48" t="s">
        <v>74</v>
      </c>
      <c r="B96" s="14" t="s">
        <v>101</v>
      </c>
      <c r="C96">
        <v>15000</v>
      </c>
      <c r="D96" s="12">
        <v>1</v>
      </c>
      <c r="E96" s="39">
        <f t="shared" si="2"/>
        <v>15000</v>
      </c>
      <c r="J96" s="14"/>
      <c r="L96" s="12"/>
      <c r="M96"/>
    </row>
    <row r="97" spans="1:13" ht="15" thickBot="1" x14ac:dyDescent="0.35">
      <c r="A97" s="48" t="s">
        <v>79</v>
      </c>
      <c r="B97" s="14" t="s">
        <v>103</v>
      </c>
      <c r="C97">
        <v>300</v>
      </c>
      <c r="D97" s="12">
        <v>1</v>
      </c>
      <c r="E97" s="39">
        <f t="shared" si="2"/>
        <v>300</v>
      </c>
      <c r="J97" s="14"/>
      <c r="L97" s="12"/>
      <c r="M97"/>
    </row>
    <row r="98" spans="1:13" ht="15" thickBot="1" x14ac:dyDescent="0.35">
      <c r="A98" s="48" t="s">
        <v>85</v>
      </c>
      <c r="B98" s="14" t="s">
        <v>98</v>
      </c>
      <c r="E98" s="39">
        <f t="shared" si="2"/>
        <v>0</v>
      </c>
      <c r="J98" s="14"/>
      <c r="L98" s="12"/>
      <c r="M98"/>
    </row>
    <row r="99" spans="1:13" ht="15" thickBot="1" x14ac:dyDescent="0.35">
      <c r="A99" s="48" t="s">
        <v>87</v>
      </c>
      <c r="B99" s="14" t="s">
        <v>99</v>
      </c>
      <c r="E99" s="39">
        <f t="shared" si="2"/>
        <v>0</v>
      </c>
      <c r="M99"/>
    </row>
    <row r="100" spans="1:13" ht="15" thickBot="1" x14ac:dyDescent="0.35">
      <c r="A100" s="48"/>
      <c r="B100" s="14"/>
      <c r="E100" s="39">
        <f t="shared" si="2"/>
        <v>0</v>
      </c>
      <c r="M100"/>
    </row>
    <row r="101" spans="1:13" ht="15" thickBot="1" x14ac:dyDescent="0.35">
      <c r="A101" s="48"/>
      <c r="B101" s="14"/>
      <c r="E101" s="39">
        <f t="shared" si="2"/>
        <v>0</v>
      </c>
      <c r="M101"/>
    </row>
    <row r="102" spans="1:13" ht="15" thickBot="1" x14ac:dyDescent="0.35">
      <c r="A102" s="48"/>
      <c r="B102" s="14"/>
      <c r="E102" s="39">
        <f t="shared" si="2"/>
        <v>0</v>
      </c>
      <c r="M102"/>
    </row>
    <row r="103" spans="1:13" ht="15" thickBot="1" x14ac:dyDescent="0.35">
      <c r="A103" s="48"/>
      <c r="B103" s="14"/>
      <c r="E103" s="39">
        <f t="shared" si="2"/>
        <v>0</v>
      </c>
      <c r="M103"/>
    </row>
    <row r="104" spans="1:13" ht="15" thickBot="1" x14ac:dyDescent="0.35">
      <c r="E104" s="39">
        <f t="shared" si="2"/>
        <v>0</v>
      </c>
    </row>
    <row r="105" spans="1:13" x14ac:dyDescent="0.3">
      <c r="B105" t="s">
        <v>80</v>
      </c>
      <c r="E105" s="13">
        <f>SUM(E2:E103)</f>
        <v>54950</v>
      </c>
      <c r="M10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3"/>
  <sheetViews>
    <sheetView topLeftCell="A83" zoomScale="80" zoomScaleNormal="55" workbookViewId="0">
      <selection activeCell="A39" sqref="A39:C39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3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400</v>
      </c>
      <c r="D23"/>
    </row>
    <row r="24" spans="1:5" x14ac:dyDescent="0.3">
      <c r="A24" s="11" t="s">
        <v>70</v>
      </c>
      <c r="B24" t="s">
        <v>94</v>
      </c>
      <c r="C24" s="12">
        <v>500</v>
      </c>
      <c r="D24"/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/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</row>
    <row r="34" spans="1:10" x14ac:dyDescent="0.3">
      <c r="A34" s="11" t="s">
        <v>24</v>
      </c>
      <c r="B34" t="s">
        <v>83</v>
      </c>
      <c r="C34" s="12">
        <v>600</v>
      </c>
      <c r="D34"/>
      <c r="E34" s="13">
        <f t="shared" si="0"/>
        <v>0</v>
      </c>
      <c r="J34" s="32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A39" s="11" t="s">
        <v>34</v>
      </c>
      <c r="B39" t="s">
        <v>114</v>
      </c>
      <c r="C39" s="12">
        <f>100</f>
        <v>100</v>
      </c>
      <c r="D39"/>
    </row>
    <row r="40" spans="1:10" x14ac:dyDescent="0.3">
      <c r="C40" s="12"/>
      <c r="D40"/>
      <c r="E40" s="13">
        <f t="shared" si="0"/>
        <v>0</v>
      </c>
    </row>
    <row r="41" spans="1:1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0" x14ac:dyDescent="0.3">
      <c r="A42" s="11" t="s">
        <v>6</v>
      </c>
      <c r="B42" t="s">
        <v>45</v>
      </c>
      <c r="C42" s="12">
        <v>1000</v>
      </c>
      <c r="D42"/>
      <c r="E42" s="13">
        <f t="shared" si="0"/>
        <v>0</v>
      </c>
    </row>
    <row r="43" spans="1:10" x14ac:dyDescent="0.3">
      <c r="A43" s="11" t="s">
        <v>8</v>
      </c>
      <c r="B43" t="s">
        <v>46</v>
      </c>
      <c r="C43" s="12">
        <v>100</v>
      </c>
      <c r="D43"/>
      <c r="E43" s="13">
        <f t="shared" si="0"/>
        <v>0</v>
      </c>
    </row>
    <row r="44" spans="1:10" x14ac:dyDescent="0.3">
      <c r="A44" s="11" t="s">
        <v>10</v>
      </c>
      <c r="B44" t="s">
        <v>47</v>
      </c>
      <c r="C44" s="12"/>
      <c r="E44" s="13">
        <f>D45*C44</f>
        <v>0</v>
      </c>
    </row>
    <row r="45" spans="1:10" x14ac:dyDescent="0.3">
      <c r="A45" s="11" t="s">
        <v>12</v>
      </c>
      <c r="B45" t="s">
        <v>48</v>
      </c>
      <c r="C45" s="12"/>
      <c r="D45"/>
      <c r="E45" s="13">
        <f>D46*C45</f>
        <v>0</v>
      </c>
    </row>
    <row r="46" spans="1:10" x14ac:dyDescent="0.3">
      <c r="A46" s="11" t="s">
        <v>14</v>
      </c>
      <c r="B46" t="s">
        <v>49</v>
      </c>
      <c r="C46" s="12"/>
      <c r="D46"/>
      <c r="E46" s="13">
        <f t="shared" ref="E46:E102" si="1">D46*C46</f>
        <v>0</v>
      </c>
    </row>
    <row r="47" spans="1:10" x14ac:dyDescent="0.3">
      <c r="C47" s="12"/>
      <c r="D47"/>
      <c r="E47" s="13">
        <f t="shared" si="1"/>
        <v>0</v>
      </c>
    </row>
    <row r="48" spans="1:10" x14ac:dyDescent="0.3">
      <c r="A48" s="6">
        <v>5</v>
      </c>
      <c r="B48" s="7" t="s">
        <v>50</v>
      </c>
      <c r="C48" s="9"/>
      <c r="D48" s="8"/>
      <c r="E48" s="10">
        <f t="shared" si="1"/>
        <v>0</v>
      </c>
    </row>
    <row r="49" spans="1:5" x14ac:dyDescent="0.3">
      <c r="A49" s="11" t="s">
        <v>6</v>
      </c>
      <c r="B49" t="s">
        <v>51</v>
      </c>
      <c r="C49" s="12">
        <v>550</v>
      </c>
      <c r="D49"/>
      <c r="E49" s="13">
        <f t="shared" si="1"/>
        <v>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</row>
    <row r="51" spans="1:5" x14ac:dyDescent="0.3">
      <c r="A51" s="11"/>
      <c r="C51" s="12"/>
      <c r="D51"/>
      <c r="E51" s="13">
        <f t="shared" si="1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1"/>
        <v>0</v>
      </c>
    </row>
    <row r="53" spans="1:5" x14ac:dyDescent="0.3">
      <c r="A53" s="11" t="s">
        <v>6</v>
      </c>
      <c r="B53" s="14" t="s">
        <v>54</v>
      </c>
      <c r="C53" s="12">
        <v>3900</v>
      </c>
      <c r="D53"/>
      <c r="E53" s="13">
        <f t="shared" si="1"/>
        <v>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</row>
    <row r="55" spans="1:5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</row>
    <row r="58" spans="1:5" x14ac:dyDescent="0.3">
      <c r="A58" s="11" t="s">
        <v>22</v>
      </c>
      <c r="B58" s="14" t="s">
        <v>59</v>
      </c>
      <c r="C58" s="12">
        <v>300</v>
      </c>
      <c r="D58"/>
      <c r="E58" s="13">
        <f t="shared" si="1"/>
        <v>0</v>
      </c>
    </row>
    <row r="59" spans="1:5" x14ac:dyDescent="0.3">
      <c r="A59" s="11" t="s">
        <v>24</v>
      </c>
      <c r="B59" s="14" t="s">
        <v>60</v>
      </c>
      <c r="C59" s="12">
        <v>1000</v>
      </c>
      <c r="D59"/>
      <c r="E59" s="13">
        <f t="shared" si="1"/>
        <v>0</v>
      </c>
    </row>
    <row r="60" spans="1:5" x14ac:dyDescent="0.3">
      <c r="A60" s="11" t="s">
        <v>26</v>
      </c>
      <c r="B60" s="14" t="s">
        <v>61</v>
      </c>
      <c r="C60" s="12">
        <v>300</v>
      </c>
      <c r="D60"/>
      <c r="E60" s="13">
        <f t="shared" si="1"/>
        <v>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</row>
    <row r="62" spans="1:5" x14ac:dyDescent="0.3">
      <c r="A62" s="11" t="s">
        <v>30</v>
      </c>
      <c r="B62" s="14" t="s">
        <v>63</v>
      </c>
      <c r="C62" s="12">
        <v>700</v>
      </c>
      <c r="D62"/>
      <c r="E62" s="13">
        <f t="shared" si="1"/>
        <v>0</v>
      </c>
    </row>
    <row r="63" spans="1:5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</row>
    <row r="64" spans="1:5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</row>
    <row r="65" spans="1:13" x14ac:dyDescent="0.3">
      <c r="A65" s="11" t="s">
        <v>66</v>
      </c>
      <c r="B65" s="14" t="s">
        <v>67</v>
      </c>
      <c r="C65" s="12">
        <v>300</v>
      </c>
      <c r="D65"/>
      <c r="E65" s="13">
        <f t="shared" si="1"/>
        <v>0</v>
      </c>
    </row>
    <row r="66" spans="1:13" x14ac:dyDescent="0.3">
      <c r="A66" s="11" t="s">
        <v>68</v>
      </c>
      <c r="B66" s="14" t="s">
        <v>69</v>
      </c>
      <c r="C66" s="12">
        <v>600</v>
      </c>
      <c r="D66"/>
      <c r="E66" s="13">
        <f t="shared" si="1"/>
        <v>0</v>
      </c>
    </row>
    <row r="67" spans="1:13" x14ac:dyDescent="0.3">
      <c r="A67" s="11" t="s">
        <v>70</v>
      </c>
      <c r="B67" s="14" t="s">
        <v>71</v>
      </c>
      <c r="C67" s="12">
        <v>1200</v>
      </c>
      <c r="D67"/>
      <c r="E67" s="13">
        <f t="shared" si="1"/>
        <v>0</v>
      </c>
    </row>
    <row r="68" spans="1:13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</row>
    <row r="69" spans="1:13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</row>
    <row r="70" spans="1:13" x14ac:dyDescent="0.3">
      <c r="A70" s="11" t="s">
        <v>79</v>
      </c>
      <c r="B70" s="14" t="s">
        <v>84</v>
      </c>
      <c r="C70" s="12">
        <v>400</v>
      </c>
      <c r="D70"/>
      <c r="E70" s="13">
        <f t="shared" si="1"/>
        <v>0</v>
      </c>
      <c r="M70"/>
    </row>
    <row r="71" spans="1:13" x14ac:dyDescent="0.3">
      <c r="A71" s="11" t="s">
        <v>85</v>
      </c>
      <c r="B71" s="14" t="s">
        <v>86</v>
      </c>
      <c r="C71" s="12">
        <v>300</v>
      </c>
      <c r="D71"/>
      <c r="E71" s="13">
        <f t="shared" si="1"/>
        <v>0</v>
      </c>
      <c r="M71"/>
    </row>
    <row r="72" spans="1:13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  <c r="M72"/>
    </row>
    <row r="73" spans="1:13" x14ac:dyDescent="0.3">
      <c r="A73" s="11" t="s">
        <v>106</v>
      </c>
      <c r="B73" s="14" t="s">
        <v>107</v>
      </c>
      <c r="C73" s="12"/>
      <c r="D73"/>
      <c r="M73"/>
    </row>
    <row r="74" spans="1:13" x14ac:dyDescent="0.3">
      <c r="C74" s="12"/>
      <c r="D74"/>
      <c r="E74" s="13">
        <f t="shared" si="1"/>
        <v>0</v>
      </c>
      <c r="M74"/>
    </row>
    <row r="75" spans="1:13" x14ac:dyDescent="0.3">
      <c r="A75" s="15">
        <v>7</v>
      </c>
      <c r="B75" s="7" t="s">
        <v>76</v>
      </c>
      <c r="C75" s="9"/>
      <c r="D75" s="8"/>
      <c r="E75" s="10">
        <f t="shared" si="1"/>
        <v>0</v>
      </c>
      <c r="M75"/>
    </row>
    <row r="76" spans="1:13" x14ac:dyDescent="0.3">
      <c r="A76" s="11" t="s">
        <v>6</v>
      </c>
      <c r="B76" s="14" t="s">
        <v>77</v>
      </c>
      <c r="C76" s="12"/>
      <c r="D76"/>
      <c r="E76" s="13">
        <f t="shared" si="1"/>
        <v>0</v>
      </c>
      <c r="M76"/>
    </row>
    <row r="77" spans="1:13" x14ac:dyDescent="0.3">
      <c r="A77" s="11" t="s">
        <v>8</v>
      </c>
      <c r="B77" s="14" t="s">
        <v>78</v>
      </c>
      <c r="C77" s="12">
        <v>1</v>
      </c>
      <c r="D77"/>
      <c r="E77" s="13">
        <f t="shared" si="1"/>
        <v>0</v>
      </c>
      <c r="M77"/>
    </row>
    <row r="78" spans="1:13" x14ac:dyDescent="0.3">
      <c r="E78" s="13">
        <f t="shared" si="1"/>
        <v>0</v>
      </c>
    </row>
    <row r="79" spans="1:13" x14ac:dyDescent="0.3">
      <c r="A79" s="15">
        <v>8</v>
      </c>
      <c r="B79" s="7" t="s">
        <v>96</v>
      </c>
      <c r="C79" s="9"/>
      <c r="D79" s="8"/>
      <c r="E79" s="13">
        <f t="shared" si="1"/>
        <v>0</v>
      </c>
    </row>
    <row r="80" spans="1:13" x14ac:dyDescent="0.3">
      <c r="A80" s="48" t="s">
        <v>6</v>
      </c>
      <c r="B80" s="14" t="s">
        <v>116</v>
      </c>
      <c r="C80">
        <v>100</v>
      </c>
      <c r="E80" s="13">
        <f t="shared" si="1"/>
        <v>0</v>
      </c>
    </row>
    <row r="81" spans="1:5" x14ac:dyDescent="0.3">
      <c r="A81" s="48" t="s">
        <v>8</v>
      </c>
      <c r="B81" s="14" t="s">
        <v>117</v>
      </c>
      <c r="E81" s="13">
        <f t="shared" si="1"/>
        <v>0</v>
      </c>
    </row>
    <row r="82" spans="1:5" x14ac:dyDescent="0.3">
      <c r="A82" s="48" t="s">
        <v>10</v>
      </c>
      <c r="B82" s="14" t="s">
        <v>97</v>
      </c>
      <c r="E82" s="13">
        <f t="shared" si="1"/>
        <v>0</v>
      </c>
    </row>
    <row r="83" spans="1:5" x14ac:dyDescent="0.3">
      <c r="A83" s="48" t="s">
        <v>12</v>
      </c>
      <c r="B83" s="14" t="s">
        <v>118</v>
      </c>
      <c r="E83" s="13">
        <f t="shared" si="1"/>
        <v>0</v>
      </c>
    </row>
    <row r="84" spans="1:5" x14ac:dyDescent="0.3">
      <c r="A84" s="48" t="s">
        <v>14</v>
      </c>
      <c r="B84" s="14" t="s">
        <v>108</v>
      </c>
      <c r="E84" s="13">
        <f t="shared" si="1"/>
        <v>0</v>
      </c>
    </row>
    <row r="85" spans="1:5" x14ac:dyDescent="0.3">
      <c r="A85" s="48" t="s">
        <v>22</v>
      </c>
      <c r="B85" s="14" t="s">
        <v>119</v>
      </c>
      <c r="E85" s="13">
        <f t="shared" si="1"/>
        <v>0</v>
      </c>
    </row>
    <row r="86" spans="1:5" x14ac:dyDescent="0.3">
      <c r="A86" s="48" t="s">
        <v>24</v>
      </c>
      <c r="B86" s="14" t="s">
        <v>100</v>
      </c>
      <c r="E86" s="13">
        <f t="shared" si="1"/>
        <v>0</v>
      </c>
    </row>
    <row r="87" spans="1:5" x14ac:dyDescent="0.3">
      <c r="A87" s="48" t="s">
        <v>26</v>
      </c>
      <c r="B87" s="14" t="s">
        <v>102</v>
      </c>
      <c r="E87" s="13">
        <f t="shared" si="1"/>
        <v>0</v>
      </c>
    </row>
    <row r="88" spans="1:5" x14ac:dyDescent="0.3">
      <c r="A88" s="48" t="s">
        <v>28</v>
      </c>
      <c r="B88" s="14" t="s">
        <v>104</v>
      </c>
      <c r="E88" s="13">
        <f t="shared" si="1"/>
        <v>0</v>
      </c>
    </row>
    <row r="89" spans="1:5" x14ac:dyDescent="0.3">
      <c r="A89" s="48" t="s">
        <v>30</v>
      </c>
      <c r="B89" s="14" t="s">
        <v>109</v>
      </c>
      <c r="E89" s="13">
        <f t="shared" si="1"/>
        <v>0</v>
      </c>
    </row>
    <row r="90" spans="1:5" x14ac:dyDescent="0.3">
      <c r="A90" s="48" t="s">
        <v>32</v>
      </c>
      <c r="B90" s="14" t="s">
        <v>110</v>
      </c>
      <c r="E90" s="13">
        <f t="shared" si="1"/>
        <v>0</v>
      </c>
    </row>
    <row r="91" spans="1:5" x14ac:dyDescent="0.3">
      <c r="A91" s="48" t="s">
        <v>34</v>
      </c>
      <c r="B91" s="14" t="s">
        <v>111</v>
      </c>
      <c r="E91" s="13">
        <f t="shared" si="1"/>
        <v>0</v>
      </c>
    </row>
    <row r="92" spans="1:5" x14ac:dyDescent="0.3">
      <c r="A92" s="48" t="s">
        <v>66</v>
      </c>
      <c r="B92" s="14" t="s">
        <v>112</v>
      </c>
      <c r="E92" s="13">
        <f t="shared" si="1"/>
        <v>0</v>
      </c>
    </row>
    <row r="93" spans="1:5" x14ac:dyDescent="0.3">
      <c r="A93" s="48" t="s">
        <v>68</v>
      </c>
      <c r="B93" s="14" t="s">
        <v>121</v>
      </c>
      <c r="E93" s="13">
        <f t="shared" si="1"/>
        <v>0</v>
      </c>
    </row>
    <row r="94" spans="1:5" x14ac:dyDescent="0.3">
      <c r="A94" s="48" t="s">
        <v>70</v>
      </c>
      <c r="B94" s="14" t="s">
        <v>105</v>
      </c>
      <c r="E94" s="13">
        <f t="shared" si="1"/>
        <v>0</v>
      </c>
    </row>
    <row r="95" spans="1:5" x14ac:dyDescent="0.3">
      <c r="A95" s="48" t="s">
        <v>72</v>
      </c>
      <c r="B95" s="14" t="s">
        <v>120</v>
      </c>
      <c r="E95" s="13">
        <f t="shared" si="1"/>
        <v>0</v>
      </c>
    </row>
    <row r="96" spans="1:5" x14ac:dyDescent="0.3">
      <c r="A96" s="48" t="s">
        <v>74</v>
      </c>
      <c r="B96" s="14" t="s">
        <v>101</v>
      </c>
      <c r="E96" s="13">
        <f t="shared" si="1"/>
        <v>0</v>
      </c>
    </row>
    <row r="97" spans="1:13" x14ac:dyDescent="0.3">
      <c r="A97" s="48" t="s">
        <v>79</v>
      </c>
      <c r="B97" s="14" t="s">
        <v>103</v>
      </c>
      <c r="E97" s="13">
        <f t="shared" si="1"/>
        <v>0</v>
      </c>
    </row>
    <row r="98" spans="1:13" x14ac:dyDescent="0.3">
      <c r="A98" s="48" t="s">
        <v>85</v>
      </c>
      <c r="B98" s="14" t="s">
        <v>98</v>
      </c>
      <c r="E98" s="13">
        <f t="shared" si="1"/>
        <v>0</v>
      </c>
    </row>
    <row r="99" spans="1:13" x14ac:dyDescent="0.3">
      <c r="A99" s="48" t="s">
        <v>87</v>
      </c>
      <c r="B99" s="14" t="s">
        <v>99</v>
      </c>
      <c r="E99" s="13">
        <f t="shared" si="1"/>
        <v>0</v>
      </c>
    </row>
    <row r="100" spans="1:13" x14ac:dyDescent="0.3">
      <c r="A100" s="48"/>
      <c r="B100" s="14"/>
      <c r="E100" s="13">
        <f t="shared" si="1"/>
        <v>0</v>
      </c>
    </row>
    <row r="101" spans="1:13" x14ac:dyDescent="0.3">
      <c r="A101" s="48"/>
      <c r="B101" s="14"/>
      <c r="E101" s="13">
        <f t="shared" si="1"/>
        <v>0</v>
      </c>
    </row>
    <row r="102" spans="1:13" x14ac:dyDescent="0.3">
      <c r="E102" s="13">
        <f t="shared" si="1"/>
        <v>0</v>
      </c>
    </row>
    <row r="103" spans="1:13" x14ac:dyDescent="0.3">
      <c r="B103" t="s">
        <v>80</v>
      </c>
      <c r="E103" s="13">
        <f>SUM(E2:E78)</f>
        <v>0</v>
      </c>
      <c r="M10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03"/>
  <sheetViews>
    <sheetView topLeftCell="A33" zoomScale="89" workbookViewId="0">
      <selection activeCell="A39" sqref="A39:C39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3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5000</v>
      </c>
      <c r="D28">
        <v>1</v>
      </c>
      <c r="E28" s="13">
        <f t="shared" si="0"/>
        <v>5000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1600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A39" s="11" t="s">
        <v>34</v>
      </c>
      <c r="B39" t="s">
        <v>114</v>
      </c>
      <c r="C39" s="12">
        <f>100</f>
        <v>100</v>
      </c>
      <c r="D39"/>
    </row>
    <row r="40" spans="1:10" x14ac:dyDescent="0.3">
      <c r="C40" s="12"/>
      <c r="D40"/>
      <c r="E40" s="13">
        <f t="shared" si="0"/>
        <v>0</v>
      </c>
    </row>
    <row r="41" spans="1:1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0" x14ac:dyDescent="0.3">
      <c r="A42" s="11" t="s">
        <v>6</v>
      </c>
      <c r="B42" t="s">
        <v>45</v>
      </c>
      <c r="C42" s="12">
        <v>1000</v>
      </c>
      <c r="D42"/>
      <c r="E42" s="13">
        <f t="shared" si="0"/>
        <v>0</v>
      </c>
    </row>
    <row r="43" spans="1:10" x14ac:dyDescent="0.3">
      <c r="A43" s="11" t="s">
        <v>8</v>
      </c>
      <c r="B43" t="s">
        <v>46</v>
      </c>
      <c r="C43" s="12">
        <v>100</v>
      </c>
      <c r="D43"/>
      <c r="E43" s="13">
        <f t="shared" si="0"/>
        <v>0</v>
      </c>
    </row>
    <row r="44" spans="1:10" x14ac:dyDescent="0.3">
      <c r="A44" s="11" t="s">
        <v>10</v>
      </c>
      <c r="B44" t="s">
        <v>47</v>
      </c>
      <c r="C44" s="12"/>
      <c r="E44" s="13">
        <f>D45*C44</f>
        <v>0</v>
      </c>
    </row>
    <row r="45" spans="1:10" x14ac:dyDescent="0.3">
      <c r="A45" s="11" t="s">
        <v>12</v>
      </c>
      <c r="B45" t="s">
        <v>48</v>
      </c>
      <c r="C45" s="12"/>
      <c r="D45"/>
      <c r="E45" s="13">
        <f>D46*C45</f>
        <v>0</v>
      </c>
    </row>
    <row r="46" spans="1:10" x14ac:dyDescent="0.3">
      <c r="A46" s="11" t="s">
        <v>14</v>
      </c>
      <c r="B46" t="s">
        <v>49</v>
      </c>
      <c r="C46" s="12"/>
      <c r="D46"/>
      <c r="E46" s="13">
        <f t="shared" ref="E46:E77" si="1">D46*C46</f>
        <v>0</v>
      </c>
    </row>
    <row r="47" spans="1:10" x14ac:dyDescent="0.3">
      <c r="C47" s="12"/>
      <c r="D47"/>
      <c r="E47" s="13">
        <f t="shared" si="1"/>
        <v>0</v>
      </c>
    </row>
    <row r="48" spans="1:10" x14ac:dyDescent="0.3">
      <c r="A48" s="6">
        <v>5</v>
      </c>
      <c r="B48" s="7" t="s">
        <v>50</v>
      </c>
      <c r="C48" s="9"/>
      <c r="D48" s="8"/>
      <c r="E48" s="10">
        <f t="shared" si="1"/>
        <v>0</v>
      </c>
    </row>
    <row r="49" spans="1:5" x14ac:dyDescent="0.3">
      <c r="A49" s="11" t="s">
        <v>6</v>
      </c>
      <c r="B49" t="s">
        <v>51</v>
      </c>
      <c r="C49" s="12">
        <v>100</v>
      </c>
      <c r="D49"/>
      <c r="E49" s="13">
        <f t="shared" si="1"/>
        <v>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</row>
    <row r="51" spans="1:5" x14ac:dyDescent="0.3">
      <c r="A51" s="11"/>
      <c r="C51" s="12"/>
      <c r="D51"/>
      <c r="E51" s="13">
        <f t="shared" si="1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1"/>
        <v>0</v>
      </c>
    </row>
    <row r="53" spans="1:5" x14ac:dyDescent="0.3">
      <c r="A53" s="11" t="s">
        <v>6</v>
      </c>
      <c r="B53" s="14" t="s">
        <v>54</v>
      </c>
      <c r="C53" s="12">
        <v>2500</v>
      </c>
      <c r="D53">
        <v>1</v>
      </c>
      <c r="E53" s="13">
        <f t="shared" si="1"/>
        <v>2500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</row>
    <row r="55" spans="1:5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</row>
    <row r="58" spans="1:5" x14ac:dyDescent="0.3">
      <c r="A58" s="11" t="s">
        <v>22</v>
      </c>
      <c r="B58" s="14" t="s">
        <v>59</v>
      </c>
      <c r="C58" s="12">
        <v>300</v>
      </c>
      <c r="D58"/>
      <c r="E58" s="13">
        <f t="shared" si="1"/>
        <v>0</v>
      </c>
    </row>
    <row r="59" spans="1:5" x14ac:dyDescent="0.3">
      <c r="A59" s="11" t="s">
        <v>24</v>
      </c>
      <c r="B59" s="14" t="s">
        <v>60</v>
      </c>
      <c r="C59" s="12">
        <v>1300</v>
      </c>
      <c r="D59"/>
      <c r="E59" s="13">
        <f t="shared" si="1"/>
        <v>0</v>
      </c>
    </row>
    <row r="60" spans="1:5" x14ac:dyDescent="0.3">
      <c r="A60" s="11" t="s">
        <v>26</v>
      </c>
      <c r="B60" s="14" t="s">
        <v>61</v>
      </c>
      <c r="C60" s="12">
        <v>300</v>
      </c>
      <c r="D60"/>
      <c r="E60" s="13">
        <f t="shared" si="1"/>
        <v>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</row>
    <row r="62" spans="1:5" x14ac:dyDescent="0.3">
      <c r="A62" s="11" t="s">
        <v>30</v>
      </c>
      <c r="B62" s="14" t="s">
        <v>63</v>
      </c>
      <c r="C62" s="12">
        <v>700</v>
      </c>
      <c r="D62"/>
      <c r="E62" s="13">
        <f t="shared" si="1"/>
        <v>0</v>
      </c>
    </row>
    <row r="63" spans="1:5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</row>
    <row r="64" spans="1:5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</row>
    <row r="65" spans="1:13" x14ac:dyDescent="0.3">
      <c r="A65" s="11" t="s">
        <v>66</v>
      </c>
      <c r="B65" s="14" t="s">
        <v>67</v>
      </c>
      <c r="C65" s="12">
        <v>300</v>
      </c>
      <c r="D65"/>
      <c r="E65" s="13">
        <f t="shared" si="1"/>
        <v>0</v>
      </c>
    </row>
    <row r="66" spans="1:13" x14ac:dyDescent="0.3">
      <c r="A66" s="11" t="s">
        <v>68</v>
      </c>
      <c r="B66" s="14" t="s">
        <v>69</v>
      </c>
      <c r="C66" s="12">
        <v>700</v>
      </c>
      <c r="D66"/>
      <c r="E66" s="13">
        <f t="shared" si="1"/>
        <v>0</v>
      </c>
    </row>
    <row r="67" spans="1:13" x14ac:dyDescent="0.3">
      <c r="A67" s="11" t="s">
        <v>70</v>
      </c>
      <c r="B67" s="14" t="s">
        <v>71</v>
      </c>
      <c r="C67" s="12">
        <v>1200</v>
      </c>
      <c r="D67"/>
      <c r="E67" s="13">
        <f t="shared" si="1"/>
        <v>0</v>
      </c>
    </row>
    <row r="68" spans="1:13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</row>
    <row r="69" spans="1:13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</row>
    <row r="70" spans="1:13" x14ac:dyDescent="0.3">
      <c r="A70" s="11" t="s">
        <v>79</v>
      </c>
      <c r="B70" s="14" t="s">
        <v>84</v>
      </c>
      <c r="C70" s="12">
        <v>500</v>
      </c>
      <c r="D70"/>
      <c r="E70" s="13">
        <f t="shared" si="1"/>
        <v>0</v>
      </c>
    </row>
    <row r="71" spans="1:13" x14ac:dyDescent="0.3">
      <c r="A71" s="11" t="s">
        <v>85</v>
      </c>
      <c r="B71" s="14" t="s">
        <v>86</v>
      </c>
      <c r="C71" s="12">
        <v>300</v>
      </c>
      <c r="D71"/>
      <c r="E71" s="13">
        <f t="shared" si="1"/>
        <v>0</v>
      </c>
    </row>
    <row r="72" spans="1:13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</row>
    <row r="73" spans="1:13" x14ac:dyDescent="0.3">
      <c r="A73" s="11" t="s">
        <v>106</v>
      </c>
      <c r="B73" s="14" t="s">
        <v>107</v>
      </c>
      <c r="C73" s="12"/>
      <c r="D73"/>
    </row>
    <row r="74" spans="1:13" x14ac:dyDescent="0.3">
      <c r="C74" s="12"/>
      <c r="D74"/>
      <c r="E74" s="13">
        <f t="shared" si="1"/>
        <v>0</v>
      </c>
    </row>
    <row r="75" spans="1:13" x14ac:dyDescent="0.3">
      <c r="A75" s="15">
        <v>7</v>
      </c>
      <c r="B75" s="7" t="s">
        <v>76</v>
      </c>
      <c r="C75" s="9"/>
      <c r="D75" s="8"/>
      <c r="E75" s="10">
        <f t="shared" si="1"/>
        <v>0</v>
      </c>
      <c r="K75" s="14"/>
      <c r="M75" s="12"/>
    </row>
    <row r="76" spans="1:13" x14ac:dyDescent="0.3">
      <c r="A76" s="11" t="s">
        <v>6</v>
      </c>
      <c r="B76" s="14" t="s">
        <v>77</v>
      </c>
      <c r="C76" s="12"/>
      <c r="D76"/>
      <c r="E76" s="13">
        <f t="shared" si="1"/>
        <v>0</v>
      </c>
      <c r="K76" s="14"/>
      <c r="M76" s="12"/>
    </row>
    <row r="77" spans="1:13" x14ac:dyDescent="0.3">
      <c r="A77" s="11" t="s">
        <v>8</v>
      </c>
      <c r="B77" s="14" t="s">
        <v>78</v>
      </c>
      <c r="C77" s="12">
        <v>1</v>
      </c>
      <c r="D77"/>
      <c r="E77" s="13">
        <f t="shared" si="1"/>
        <v>0</v>
      </c>
      <c r="K77" s="14"/>
      <c r="M77" s="12"/>
    </row>
    <row r="78" spans="1:13" x14ac:dyDescent="0.3">
      <c r="K78" s="14"/>
      <c r="M78" s="12"/>
    </row>
    <row r="79" spans="1:13" x14ac:dyDescent="0.3">
      <c r="A79" s="15">
        <v>8</v>
      </c>
      <c r="B79" s="7" t="s">
        <v>96</v>
      </c>
      <c r="C79" s="9"/>
      <c r="D79" s="8"/>
      <c r="E79" s="10">
        <f t="shared" ref="E79:E102" si="2">D79*C79</f>
        <v>0</v>
      </c>
      <c r="K79" s="14"/>
      <c r="M79" s="12"/>
    </row>
    <row r="80" spans="1:13" x14ac:dyDescent="0.3">
      <c r="A80" s="48" t="s">
        <v>6</v>
      </c>
      <c r="B80" s="14" t="s">
        <v>116</v>
      </c>
      <c r="E80" s="13">
        <f t="shared" si="2"/>
        <v>0</v>
      </c>
    </row>
    <row r="81" spans="1:5" x14ac:dyDescent="0.3">
      <c r="A81" s="48" t="s">
        <v>8</v>
      </c>
      <c r="B81" s="14" t="s">
        <v>117</v>
      </c>
      <c r="E81" s="13">
        <f t="shared" si="2"/>
        <v>0</v>
      </c>
    </row>
    <row r="82" spans="1:5" x14ac:dyDescent="0.3">
      <c r="A82" s="48" t="s">
        <v>10</v>
      </c>
      <c r="B82" s="14" t="s">
        <v>97</v>
      </c>
      <c r="C82">
        <v>1500</v>
      </c>
      <c r="D82" s="12">
        <v>1</v>
      </c>
      <c r="E82" s="13">
        <f t="shared" si="2"/>
        <v>1500</v>
      </c>
    </row>
    <row r="83" spans="1:5" x14ac:dyDescent="0.3">
      <c r="A83" s="48" t="s">
        <v>12</v>
      </c>
      <c r="B83" s="14" t="s">
        <v>118</v>
      </c>
      <c r="E83" s="13">
        <f t="shared" si="2"/>
        <v>0</v>
      </c>
    </row>
    <row r="84" spans="1:5" x14ac:dyDescent="0.3">
      <c r="A84" s="48" t="s">
        <v>14</v>
      </c>
      <c r="B84" s="14" t="s">
        <v>108</v>
      </c>
      <c r="E84" s="13">
        <f t="shared" si="2"/>
        <v>0</v>
      </c>
    </row>
    <row r="85" spans="1:5" x14ac:dyDescent="0.3">
      <c r="A85" s="48" t="s">
        <v>22</v>
      </c>
      <c r="B85" s="14" t="s">
        <v>119</v>
      </c>
      <c r="E85" s="13">
        <f t="shared" si="2"/>
        <v>0</v>
      </c>
    </row>
    <row r="86" spans="1:5" x14ac:dyDescent="0.3">
      <c r="A86" s="48" t="s">
        <v>24</v>
      </c>
      <c r="B86" s="14" t="s">
        <v>100</v>
      </c>
      <c r="C86">
        <v>1600</v>
      </c>
      <c r="D86" s="12">
        <v>1</v>
      </c>
      <c r="E86" s="13">
        <f t="shared" si="2"/>
        <v>1600</v>
      </c>
    </row>
    <row r="87" spans="1:5" x14ac:dyDescent="0.3">
      <c r="A87" s="48" t="s">
        <v>26</v>
      </c>
      <c r="B87" s="14" t="s">
        <v>102</v>
      </c>
      <c r="E87" s="13">
        <f t="shared" si="2"/>
        <v>0</v>
      </c>
    </row>
    <row r="88" spans="1:5" x14ac:dyDescent="0.3">
      <c r="A88" s="48" t="s">
        <v>28</v>
      </c>
      <c r="B88" s="14" t="s">
        <v>104</v>
      </c>
      <c r="C88">
        <v>1100</v>
      </c>
      <c r="D88" s="12">
        <v>1</v>
      </c>
      <c r="E88" s="13">
        <f t="shared" si="2"/>
        <v>1100</v>
      </c>
    </row>
    <row r="89" spans="1:5" x14ac:dyDescent="0.3">
      <c r="A89" s="48" t="s">
        <v>30</v>
      </c>
      <c r="B89" s="14" t="s">
        <v>109</v>
      </c>
      <c r="E89" s="13">
        <f t="shared" si="2"/>
        <v>0</v>
      </c>
    </row>
    <row r="90" spans="1:5" x14ac:dyDescent="0.3">
      <c r="A90" s="48" t="s">
        <v>32</v>
      </c>
      <c r="B90" s="14" t="s">
        <v>110</v>
      </c>
      <c r="E90" s="13">
        <f t="shared" si="2"/>
        <v>0</v>
      </c>
    </row>
    <row r="91" spans="1:5" x14ac:dyDescent="0.3">
      <c r="A91" s="48" t="s">
        <v>34</v>
      </c>
      <c r="B91" s="14" t="s">
        <v>111</v>
      </c>
      <c r="E91" s="13">
        <f t="shared" si="2"/>
        <v>0</v>
      </c>
    </row>
    <row r="92" spans="1:5" x14ac:dyDescent="0.3">
      <c r="A92" s="48" t="s">
        <v>66</v>
      </c>
      <c r="B92" s="14" t="s">
        <v>112</v>
      </c>
      <c r="E92" s="13">
        <f t="shared" si="2"/>
        <v>0</v>
      </c>
    </row>
    <row r="93" spans="1:5" x14ac:dyDescent="0.3">
      <c r="A93" s="48" t="s">
        <v>68</v>
      </c>
      <c r="B93" s="14" t="s">
        <v>121</v>
      </c>
      <c r="E93" s="13">
        <f t="shared" si="2"/>
        <v>0</v>
      </c>
    </row>
    <row r="94" spans="1:5" x14ac:dyDescent="0.3">
      <c r="A94" s="48" t="s">
        <v>70</v>
      </c>
      <c r="B94" s="14" t="s">
        <v>105</v>
      </c>
      <c r="C94">
        <v>6000</v>
      </c>
      <c r="D94" s="12">
        <v>1</v>
      </c>
      <c r="E94" s="13">
        <f t="shared" si="2"/>
        <v>6000</v>
      </c>
    </row>
    <row r="95" spans="1:5" x14ac:dyDescent="0.3">
      <c r="A95" s="48" t="s">
        <v>72</v>
      </c>
      <c r="B95" s="14" t="s">
        <v>120</v>
      </c>
      <c r="C95">
        <v>11100</v>
      </c>
      <c r="D95" s="12">
        <v>1</v>
      </c>
      <c r="E95" s="13">
        <f t="shared" si="2"/>
        <v>11100</v>
      </c>
    </row>
    <row r="96" spans="1:5" x14ac:dyDescent="0.3">
      <c r="A96" s="48" t="s">
        <v>74</v>
      </c>
      <c r="B96" s="14" t="s">
        <v>101</v>
      </c>
      <c r="E96" s="13">
        <f t="shared" si="2"/>
        <v>0</v>
      </c>
    </row>
    <row r="97" spans="1:5" x14ac:dyDescent="0.3">
      <c r="A97" s="48" t="s">
        <v>79</v>
      </c>
      <c r="B97" s="14" t="s">
        <v>103</v>
      </c>
      <c r="E97" s="13">
        <f t="shared" si="2"/>
        <v>0</v>
      </c>
    </row>
    <row r="98" spans="1:5" x14ac:dyDescent="0.3">
      <c r="A98" s="48" t="s">
        <v>85</v>
      </c>
      <c r="B98" s="14" t="s">
        <v>98</v>
      </c>
      <c r="E98" s="13">
        <f t="shared" si="2"/>
        <v>0</v>
      </c>
    </row>
    <row r="99" spans="1:5" x14ac:dyDescent="0.3">
      <c r="A99" s="48" t="s">
        <v>87</v>
      </c>
      <c r="B99" s="14" t="s">
        <v>99</v>
      </c>
      <c r="E99" s="13">
        <f t="shared" si="2"/>
        <v>0</v>
      </c>
    </row>
    <row r="100" spans="1:5" x14ac:dyDescent="0.3">
      <c r="A100" s="48"/>
      <c r="B100" s="14"/>
      <c r="E100" s="13">
        <f t="shared" si="2"/>
        <v>0</v>
      </c>
    </row>
    <row r="101" spans="1:5" x14ac:dyDescent="0.3">
      <c r="A101" s="48"/>
      <c r="B101" s="14"/>
      <c r="E101" s="13">
        <f t="shared" si="2"/>
        <v>0</v>
      </c>
    </row>
    <row r="102" spans="1:5" x14ac:dyDescent="0.3">
      <c r="E102" s="13">
        <f t="shared" si="2"/>
        <v>0</v>
      </c>
    </row>
    <row r="103" spans="1:5" x14ac:dyDescent="0.3">
      <c r="B103" t="s">
        <v>80</v>
      </c>
      <c r="E103" s="13">
        <f>SUM(E2:E101)</f>
        <v>28800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103"/>
  <sheetViews>
    <sheetView topLeftCell="A30" workbookViewId="0">
      <selection activeCell="A39" sqref="A39:C39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3" si="0">D3*C3</f>
        <v>0</v>
      </c>
      <c r="J3" s="32"/>
    </row>
    <row r="4" spans="1:10" x14ac:dyDescent="0.3">
      <c r="A4" s="11" t="s">
        <v>8</v>
      </c>
      <c r="B4" t="s">
        <v>9</v>
      </c>
      <c r="C4" s="12">
        <f>9400/24</f>
        <v>391.66666666666669</v>
      </c>
      <c r="D4">
        <v>24</v>
      </c>
      <c r="E4" s="13">
        <f t="shared" si="0"/>
        <v>9400</v>
      </c>
    </row>
    <row r="5" spans="1:10" x14ac:dyDescent="0.3">
      <c r="A5" s="11" t="s">
        <v>10</v>
      </c>
      <c r="B5" t="s">
        <v>11</v>
      </c>
      <c r="C5" s="12">
        <f>7100/12</f>
        <v>591.66666666666663</v>
      </c>
      <c r="D5">
        <v>12</v>
      </c>
      <c r="E5" s="13">
        <f t="shared" si="0"/>
        <v>7100</v>
      </c>
    </row>
    <row r="6" spans="1:10" x14ac:dyDescent="0.3">
      <c r="A6" s="11" t="s">
        <v>12</v>
      </c>
      <c r="B6" t="s">
        <v>13</v>
      </c>
      <c r="C6" s="12">
        <f>8000/12</f>
        <v>666.66666666666663</v>
      </c>
      <c r="D6">
        <v>12</v>
      </c>
      <c r="E6" s="13">
        <f>D6*C6</f>
        <v>8000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f>3600/12</f>
        <v>300</v>
      </c>
      <c r="D10">
        <v>12</v>
      </c>
      <c r="E10" s="13">
        <f>D10*C10</f>
        <v>3600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f>10100/36</f>
        <v>280.55555555555554</v>
      </c>
      <c r="D15">
        <v>36</v>
      </c>
      <c r="E15" s="13">
        <f t="shared" si="0"/>
        <v>10100</v>
      </c>
    </row>
    <row r="16" spans="1:10" x14ac:dyDescent="0.3">
      <c r="A16" s="11" t="s">
        <v>24</v>
      </c>
      <c r="B16" t="s">
        <v>25</v>
      </c>
      <c r="C16" s="12">
        <f>5200/24</f>
        <v>216.66666666666666</v>
      </c>
      <c r="D16">
        <v>24</v>
      </c>
      <c r="E16" s="13">
        <f t="shared" si="0"/>
        <v>5200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f>2600/12</f>
        <v>216.66666666666666</v>
      </c>
      <c r="D18">
        <v>12</v>
      </c>
      <c r="E18" s="13">
        <f t="shared" si="0"/>
        <v>2600</v>
      </c>
    </row>
    <row r="19" spans="1:5" x14ac:dyDescent="0.3">
      <c r="A19" s="11" t="s">
        <v>30</v>
      </c>
      <c r="B19" t="s">
        <v>31</v>
      </c>
      <c r="C19" s="12">
        <f>9300/36</f>
        <v>258.33333333333331</v>
      </c>
      <c r="D19">
        <v>36</v>
      </c>
      <c r="E19" s="13">
        <f t="shared" si="0"/>
        <v>9300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f>3000/12</f>
        <v>250</v>
      </c>
      <c r="D21">
        <v>12</v>
      </c>
      <c r="E21" s="13">
        <f t="shared" si="0"/>
        <v>3000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5000</v>
      </c>
      <c r="D28">
        <v>1</v>
      </c>
      <c r="E28" s="13">
        <f t="shared" si="0"/>
        <v>5000</v>
      </c>
    </row>
    <row r="29" spans="1:5" x14ac:dyDescent="0.3">
      <c r="A29" s="11" t="s">
        <v>8</v>
      </c>
      <c r="B29" t="s">
        <v>38</v>
      </c>
      <c r="C29" s="12">
        <v>27000</v>
      </c>
      <c r="D29">
        <v>1</v>
      </c>
      <c r="E29" s="13">
        <f t="shared" si="0"/>
        <v>27000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3100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19500</v>
      </c>
      <c r="D37">
        <v>1</v>
      </c>
      <c r="E37" s="13">
        <f t="shared" si="0"/>
        <v>19500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A39" s="11" t="s">
        <v>34</v>
      </c>
      <c r="B39" t="s">
        <v>114</v>
      </c>
      <c r="C39" s="12">
        <f>100</f>
        <v>100</v>
      </c>
      <c r="D39"/>
    </row>
    <row r="40" spans="1:10" x14ac:dyDescent="0.3">
      <c r="C40" s="12"/>
      <c r="D40"/>
      <c r="E40" s="13">
        <f t="shared" si="0"/>
        <v>0</v>
      </c>
    </row>
    <row r="41" spans="1:1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0" x14ac:dyDescent="0.3">
      <c r="A42" s="11" t="s">
        <v>6</v>
      </c>
      <c r="B42" t="s">
        <v>45</v>
      </c>
      <c r="C42" s="12">
        <v>1000</v>
      </c>
      <c r="D42"/>
      <c r="E42" s="13">
        <f t="shared" si="0"/>
        <v>0</v>
      </c>
    </row>
    <row r="43" spans="1:10" x14ac:dyDescent="0.3">
      <c r="A43" s="11" t="s">
        <v>8</v>
      </c>
      <c r="B43" t="s">
        <v>46</v>
      </c>
      <c r="C43" s="12">
        <v>100</v>
      </c>
      <c r="D43"/>
      <c r="E43" s="13">
        <f t="shared" si="0"/>
        <v>0</v>
      </c>
    </row>
    <row r="44" spans="1:10" x14ac:dyDescent="0.3">
      <c r="A44" s="11" t="s">
        <v>10</v>
      </c>
      <c r="B44" t="s">
        <v>47</v>
      </c>
      <c r="C44" s="12"/>
      <c r="E44" s="13">
        <f>D45*C44</f>
        <v>0</v>
      </c>
    </row>
    <row r="45" spans="1:10" x14ac:dyDescent="0.3">
      <c r="A45" s="11" t="s">
        <v>12</v>
      </c>
      <c r="B45" t="s">
        <v>48</v>
      </c>
      <c r="C45" s="12"/>
      <c r="D45"/>
      <c r="E45" s="13">
        <f>D46*C45</f>
        <v>0</v>
      </c>
    </row>
    <row r="46" spans="1:10" x14ac:dyDescent="0.3">
      <c r="A46" s="11" t="s">
        <v>14</v>
      </c>
      <c r="B46" t="s">
        <v>49</v>
      </c>
      <c r="C46" s="12"/>
      <c r="D46"/>
      <c r="E46" s="13">
        <f t="shared" ref="E46:E77" si="1">D46*C46</f>
        <v>0</v>
      </c>
    </row>
    <row r="47" spans="1:10" x14ac:dyDescent="0.3">
      <c r="C47" s="12"/>
      <c r="D47"/>
      <c r="E47" s="13">
        <f t="shared" si="1"/>
        <v>0</v>
      </c>
    </row>
    <row r="48" spans="1:10" x14ac:dyDescent="0.3">
      <c r="A48" s="6">
        <v>5</v>
      </c>
      <c r="B48" s="7" t="s">
        <v>50</v>
      </c>
      <c r="C48" s="9"/>
      <c r="D48" s="8"/>
      <c r="E48" s="10">
        <f t="shared" si="1"/>
        <v>0</v>
      </c>
    </row>
    <row r="49" spans="1:5" x14ac:dyDescent="0.3">
      <c r="A49" s="11" t="s">
        <v>6</v>
      </c>
      <c r="B49" t="s">
        <v>51</v>
      </c>
      <c r="C49" s="12">
        <v>100</v>
      </c>
      <c r="D49"/>
      <c r="E49" s="13">
        <f t="shared" si="1"/>
        <v>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</row>
    <row r="51" spans="1:5" x14ac:dyDescent="0.3">
      <c r="A51" s="11"/>
      <c r="C51" s="12"/>
      <c r="D51"/>
      <c r="E51" s="13">
        <f t="shared" si="1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1"/>
        <v>0</v>
      </c>
    </row>
    <row r="53" spans="1:5" x14ac:dyDescent="0.3">
      <c r="A53" s="11" t="s">
        <v>6</v>
      </c>
      <c r="B53" s="14" t="s">
        <v>54</v>
      </c>
      <c r="C53" s="12">
        <v>5500</v>
      </c>
      <c r="D53">
        <v>1</v>
      </c>
      <c r="E53" s="13">
        <f t="shared" si="1"/>
        <v>5500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</row>
    <row r="55" spans="1:5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</row>
    <row r="58" spans="1:5" x14ac:dyDescent="0.3">
      <c r="A58" s="11" t="s">
        <v>22</v>
      </c>
      <c r="B58" s="14" t="s">
        <v>59</v>
      </c>
      <c r="C58" s="12">
        <v>300</v>
      </c>
      <c r="D58"/>
      <c r="E58" s="13">
        <f t="shared" si="1"/>
        <v>0</v>
      </c>
    </row>
    <row r="59" spans="1:5" x14ac:dyDescent="0.3">
      <c r="A59" s="11" t="s">
        <v>24</v>
      </c>
      <c r="B59" s="14" t="s">
        <v>60</v>
      </c>
      <c r="C59" s="12">
        <v>1000</v>
      </c>
      <c r="D59"/>
      <c r="E59" s="13">
        <f t="shared" si="1"/>
        <v>0</v>
      </c>
    </row>
    <row r="60" spans="1:5" x14ac:dyDescent="0.3">
      <c r="A60" s="11" t="s">
        <v>26</v>
      </c>
      <c r="B60" s="14" t="s">
        <v>61</v>
      </c>
      <c r="C60" s="12">
        <v>300</v>
      </c>
      <c r="D60"/>
      <c r="E60" s="13">
        <f t="shared" si="1"/>
        <v>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</row>
    <row r="62" spans="1:5" x14ac:dyDescent="0.3">
      <c r="A62" s="11" t="s">
        <v>30</v>
      </c>
      <c r="B62" s="14" t="s">
        <v>63</v>
      </c>
      <c r="C62" s="12">
        <v>700</v>
      </c>
      <c r="D62"/>
      <c r="E62" s="13">
        <f t="shared" si="1"/>
        <v>0</v>
      </c>
    </row>
    <row r="63" spans="1:5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</row>
    <row r="64" spans="1:5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</row>
    <row r="65" spans="1:5" x14ac:dyDescent="0.3">
      <c r="A65" s="11" t="s">
        <v>66</v>
      </c>
      <c r="B65" s="14" t="s">
        <v>67</v>
      </c>
      <c r="C65" s="12">
        <v>300</v>
      </c>
      <c r="D65"/>
      <c r="E65" s="13">
        <f t="shared" si="1"/>
        <v>0</v>
      </c>
    </row>
    <row r="66" spans="1:5" x14ac:dyDescent="0.3">
      <c r="A66" s="11" t="s">
        <v>68</v>
      </c>
      <c r="B66" s="14" t="s">
        <v>69</v>
      </c>
      <c r="C66" s="12">
        <v>600</v>
      </c>
      <c r="D66"/>
      <c r="E66" s="13">
        <f t="shared" si="1"/>
        <v>0</v>
      </c>
    </row>
    <row r="67" spans="1:5" x14ac:dyDescent="0.3">
      <c r="A67" s="11" t="s">
        <v>70</v>
      </c>
      <c r="B67" s="14" t="s">
        <v>71</v>
      </c>
      <c r="C67" s="12">
        <v>1200</v>
      </c>
      <c r="D67"/>
      <c r="E67" s="13">
        <f t="shared" si="1"/>
        <v>0</v>
      </c>
    </row>
    <row r="68" spans="1:5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</row>
    <row r="69" spans="1:5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</row>
    <row r="70" spans="1:5" x14ac:dyDescent="0.3">
      <c r="A70" s="11" t="s">
        <v>79</v>
      </c>
      <c r="B70" s="14" t="s">
        <v>84</v>
      </c>
      <c r="C70" s="12">
        <v>400</v>
      </c>
      <c r="D70"/>
      <c r="E70" s="13">
        <f t="shared" si="1"/>
        <v>0</v>
      </c>
    </row>
    <row r="71" spans="1:5" x14ac:dyDescent="0.3">
      <c r="A71" s="11" t="s">
        <v>85</v>
      </c>
      <c r="B71" s="14" t="s">
        <v>86</v>
      </c>
      <c r="C71" s="12">
        <v>300</v>
      </c>
      <c r="D71"/>
      <c r="E71" s="13">
        <f t="shared" si="1"/>
        <v>0</v>
      </c>
    </row>
    <row r="72" spans="1:5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</row>
    <row r="73" spans="1:5" x14ac:dyDescent="0.3">
      <c r="A73" s="11" t="s">
        <v>106</v>
      </c>
      <c r="B73" s="14" t="s">
        <v>107</v>
      </c>
      <c r="C73" s="12">
        <v>225</v>
      </c>
      <c r="D73">
        <v>12</v>
      </c>
      <c r="E73" s="13">
        <f t="shared" si="1"/>
        <v>2700</v>
      </c>
    </row>
    <row r="74" spans="1:5" x14ac:dyDescent="0.3">
      <c r="C74" s="12"/>
      <c r="D74"/>
      <c r="E74" s="13">
        <f t="shared" si="1"/>
        <v>0</v>
      </c>
    </row>
    <row r="75" spans="1:5" x14ac:dyDescent="0.3">
      <c r="A75" s="15">
        <v>7</v>
      </c>
      <c r="B75" s="7" t="s">
        <v>76</v>
      </c>
      <c r="C75" s="9"/>
      <c r="D75" s="8"/>
      <c r="E75" s="10">
        <f t="shared" si="1"/>
        <v>0</v>
      </c>
    </row>
    <row r="76" spans="1:5" x14ac:dyDescent="0.3">
      <c r="A76" s="11" t="s">
        <v>6</v>
      </c>
      <c r="B76" s="14" t="s">
        <v>77</v>
      </c>
      <c r="C76" s="12"/>
      <c r="D76"/>
      <c r="E76" s="13">
        <f t="shared" si="1"/>
        <v>0</v>
      </c>
    </row>
    <row r="77" spans="1:5" x14ac:dyDescent="0.3">
      <c r="A77" s="11" t="s">
        <v>8</v>
      </c>
      <c r="B77" s="14" t="s">
        <v>78</v>
      </c>
      <c r="C77" s="12">
        <v>1</v>
      </c>
      <c r="D77"/>
      <c r="E77" s="13">
        <f t="shared" si="1"/>
        <v>0</v>
      </c>
    </row>
    <row r="78" spans="1:5" x14ac:dyDescent="0.3">
      <c r="A78" s="11"/>
      <c r="B78" s="14"/>
      <c r="C78" s="12"/>
      <c r="D78"/>
    </row>
    <row r="79" spans="1:5" x14ac:dyDescent="0.3">
      <c r="A79" s="15">
        <v>8</v>
      </c>
      <c r="B79" s="7" t="s">
        <v>96</v>
      </c>
      <c r="C79" s="9"/>
      <c r="D79" s="8"/>
      <c r="E79" s="10">
        <f t="shared" ref="E79:E102" si="2">D79*C79</f>
        <v>0</v>
      </c>
    </row>
    <row r="80" spans="1:5" x14ac:dyDescent="0.3">
      <c r="A80" s="48" t="s">
        <v>6</v>
      </c>
      <c r="B80" s="14" t="s">
        <v>116</v>
      </c>
      <c r="E80" s="13">
        <f t="shared" si="2"/>
        <v>0</v>
      </c>
    </row>
    <row r="81" spans="1:11" x14ac:dyDescent="0.3">
      <c r="A81" s="48" t="s">
        <v>8</v>
      </c>
      <c r="B81" s="14" t="s">
        <v>117</v>
      </c>
      <c r="E81" s="13">
        <f t="shared" si="2"/>
        <v>0</v>
      </c>
    </row>
    <row r="82" spans="1:11" x14ac:dyDescent="0.3">
      <c r="A82" s="48" t="s">
        <v>10</v>
      </c>
      <c r="B82" s="14" t="s">
        <v>97</v>
      </c>
      <c r="C82">
        <v>2000</v>
      </c>
      <c r="D82" s="12">
        <v>1</v>
      </c>
      <c r="E82" s="13">
        <f t="shared" si="2"/>
        <v>2000</v>
      </c>
      <c r="I82" s="14"/>
      <c r="K82" s="12"/>
    </row>
    <row r="83" spans="1:11" x14ac:dyDescent="0.3">
      <c r="A83" s="48" t="s">
        <v>12</v>
      </c>
      <c r="B83" s="14" t="s">
        <v>118</v>
      </c>
      <c r="E83" s="13">
        <f t="shared" si="2"/>
        <v>0</v>
      </c>
      <c r="I83" s="14"/>
      <c r="K83" s="12"/>
    </row>
    <row r="84" spans="1:11" x14ac:dyDescent="0.3">
      <c r="A84" s="48" t="s">
        <v>14</v>
      </c>
      <c r="B84" s="14" t="s">
        <v>108</v>
      </c>
      <c r="C84">
        <v>1500</v>
      </c>
      <c r="D84" s="12">
        <v>1</v>
      </c>
      <c r="E84" s="13">
        <f t="shared" si="2"/>
        <v>1500</v>
      </c>
      <c r="I84" s="14"/>
      <c r="K84" s="12"/>
    </row>
    <row r="85" spans="1:11" x14ac:dyDescent="0.3">
      <c r="A85" s="48" t="s">
        <v>22</v>
      </c>
      <c r="B85" s="14" t="s">
        <v>119</v>
      </c>
      <c r="E85" s="13">
        <f t="shared" si="2"/>
        <v>0</v>
      </c>
      <c r="I85" s="14"/>
      <c r="K85" s="12"/>
    </row>
    <row r="86" spans="1:11" x14ac:dyDescent="0.3">
      <c r="A86" s="48" t="s">
        <v>24</v>
      </c>
      <c r="B86" s="14" t="s">
        <v>100</v>
      </c>
      <c r="C86">
        <v>800</v>
      </c>
      <c r="D86" s="12">
        <v>1</v>
      </c>
      <c r="E86" s="13">
        <f t="shared" si="2"/>
        <v>800</v>
      </c>
      <c r="I86" s="14"/>
      <c r="K86" s="12"/>
    </row>
    <row r="87" spans="1:11" x14ac:dyDescent="0.3">
      <c r="A87" s="48" t="s">
        <v>26</v>
      </c>
      <c r="B87" s="14" t="s">
        <v>102</v>
      </c>
      <c r="C87">
        <v>2500</v>
      </c>
      <c r="D87" s="12">
        <v>1</v>
      </c>
      <c r="E87" s="13">
        <f t="shared" si="2"/>
        <v>2500</v>
      </c>
      <c r="I87" s="14"/>
      <c r="K87" s="12"/>
    </row>
    <row r="88" spans="1:11" x14ac:dyDescent="0.3">
      <c r="A88" s="48" t="s">
        <v>28</v>
      </c>
      <c r="B88" s="14" t="s">
        <v>104</v>
      </c>
      <c r="C88">
        <v>700</v>
      </c>
      <c r="D88" s="12">
        <v>1</v>
      </c>
      <c r="E88" s="13">
        <f t="shared" si="2"/>
        <v>700</v>
      </c>
      <c r="I88" s="14"/>
      <c r="K88" s="12"/>
    </row>
    <row r="89" spans="1:11" x14ac:dyDescent="0.3">
      <c r="A89" s="48" t="s">
        <v>30</v>
      </c>
      <c r="B89" s="14" t="s">
        <v>109</v>
      </c>
      <c r="C89">
        <v>2500</v>
      </c>
      <c r="D89" s="12">
        <v>2</v>
      </c>
      <c r="E89" s="13">
        <f t="shared" si="2"/>
        <v>5000</v>
      </c>
      <c r="I89" s="14"/>
      <c r="K89" s="12"/>
    </row>
    <row r="90" spans="1:11" x14ac:dyDescent="0.3">
      <c r="A90" s="48" t="s">
        <v>32</v>
      </c>
      <c r="B90" s="14" t="s">
        <v>110</v>
      </c>
      <c r="C90">
        <v>1200</v>
      </c>
      <c r="D90" s="12">
        <v>1</v>
      </c>
      <c r="E90" s="13">
        <f t="shared" si="2"/>
        <v>1200</v>
      </c>
      <c r="I90" s="14"/>
      <c r="K90" s="12"/>
    </row>
    <row r="91" spans="1:11" x14ac:dyDescent="0.3">
      <c r="A91" s="48" t="s">
        <v>34</v>
      </c>
      <c r="B91" s="14" t="s">
        <v>111</v>
      </c>
      <c r="C91">
        <v>500</v>
      </c>
      <c r="D91" s="12">
        <v>4</v>
      </c>
      <c r="E91" s="13">
        <f t="shared" si="2"/>
        <v>2000</v>
      </c>
      <c r="I91" s="14"/>
      <c r="K91" s="12"/>
    </row>
    <row r="92" spans="1:11" x14ac:dyDescent="0.3">
      <c r="A92" s="48" t="s">
        <v>66</v>
      </c>
      <c r="B92" s="14" t="s">
        <v>112</v>
      </c>
      <c r="C92">
        <v>900</v>
      </c>
      <c r="D92" s="12">
        <v>1</v>
      </c>
      <c r="E92" s="13">
        <f t="shared" si="2"/>
        <v>900</v>
      </c>
      <c r="I92" s="14"/>
      <c r="K92" s="12"/>
    </row>
    <row r="93" spans="1:11" x14ac:dyDescent="0.3">
      <c r="A93" s="48" t="s">
        <v>68</v>
      </c>
      <c r="B93" s="14" t="s">
        <v>121</v>
      </c>
      <c r="C93">
        <v>605</v>
      </c>
      <c r="D93" s="12">
        <v>20</v>
      </c>
      <c r="E93" s="13">
        <f t="shared" si="2"/>
        <v>12100</v>
      </c>
      <c r="I93" s="14"/>
      <c r="K93" s="12"/>
    </row>
    <row r="94" spans="1:11" x14ac:dyDescent="0.3">
      <c r="A94" s="48" t="s">
        <v>70</v>
      </c>
      <c r="B94" s="14" t="s">
        <v>105</v>
      </c>
      <c r="E94" s="13">
        <f t="shared" si="2"/>
        <v>0</v>
      </c>
      <c r="I94" s="14"/>
      <c r="K94" s="12"/>
    </row>
    <row r="95" spans="1:11" x14ac:dyDescent="0.3">
      <c r="A95" s="48" t="s">
        <v>72</v>
      </c>
      <c r="B95" s="14" t="s">
        <v>120</v>
      </c>
      <c r="E95" s="13">
        <f t="shared" si="2"/>
        <v>0</v>
      </c>
      <c r="I95" s="14"/>
      <c r="K95" s="12"/>
    </row>
    <row r="96" spans="1:11" x14ac:dyDescent="0.3">
      <c r="A96" s="48" t="s">
        <v>74</v>
      </c>
      <c r="B96" s="14" t="s">
        <v>101</v>
      </c>
      <c r="E96" s="13">
        <f t="shared" si="2"/>
        <v>0</v>
      </c>
    </row>
    <row r="97" spans="1:5" x14ac:dyDescent="0.3">
      <c r="A97" s="48" t="s">
        <v>79</v>
      </c>
      <c r="B97" s="14" t="s">
        <v>103</v>
      </c>
      <c r="E97" s="13">
        <f t="shared" si="2"/>
        <v>0</v>
      </c>
    </row>
    <row r="98" spans="1:5" x14ac:dyDescent="0.3">
      <c r="A98" s="48" t="s">
        <v>85</v>
      </c>
      <c r="B98" s="14" t="s">
        <v>98</v>
      </c>
      <c r="E98" s="13">
        <f t="shared" si="2"/>
        <v>0</v>
      </c>
    </row>
    <row r="99" spans="1:5" x14ac:dyDescent="0.3">
      <c r="A99" s="48" t="s">
        <v>87</v>
      </c>
      <c r="B99" s="14" t="s">
        <v>99</v>
      </c>
      <c r="E99" s="13">
        <f t="shared" si="2"/>
        <v>0</v>
      </c>
    </row>
    <row r="100" spans="1:5" x14ac:dyDescent="0.3">
      <c r="A100" s="48"/>
      <c r="B100" s="14"/>
      <c r="E100" s="13">
        <f t="shared" si="2"/>
        <v>0</v>
      </c>
    </row>
    <row r="101" spans="1:5" x14ac:dyDescent="0.3">
      <c r="A101" s="48"/>
      <c r="B101" s="14"/>
      <c r="E101" s="13">
        <f t="shared" si="2"/>
        <v>0</v>
      </c>
    </row>
    <row r="102" spans="1:5" x14ac:dyDescent="0.3">
      <c r="E102" s="13">
        <f t="shared" si="2"/>
        <v>0</v>
      </c>
    </row>
    <row r="103" spans="1:5" x14ac:dyDescent="0.3">
      <c r="B103" t="s">
        <v>80</v>
      </c>
      <c r="E103" s="13">
        <f>SUM(E2:E102)</f>
        <v>146700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103"/>
  <sheetViews>
    <sheetView tabSelected="1" topLeftCell="A32" workbookViewId="0">
      <selection activeCell="C40" sqref="C4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500</v>
      </c>
      <c r="D3"/>
      <c r="E3" s="13">
        <f t="shared" ref="E3:E43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f>2200/24</f>
        <v>91.666666666666671</v>
      </c>
      <c r="D20">
        <v>24</v>
      </c>
      <c r="E20" s="13">
        <f t="shared" si="0"/>
        <v>2200</v>
      </c>
    </row>
    <row r="21" spans="1:5" x14ac:dyDescent="0.3">
      <c r="A21" s="11" t="s">
        <v>34</v>
      </c>
      <c r="B21" t="s">
        <v>35</v>
      </c>
      <c r="C21" s="12">
        <v>500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200</v>
      </c>
      <c r="D28">
        <v>250</v>
      </c>
      <c r="E28" s="13">
        <f t="shared" si="0"/>
        <v>50000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113</v>
      </c>
      <c r="C33" s="12">
        <f>6500/5</f>
        <v>1300</v>
      </c>
      <c r="D33">
        <v>5</v>
      </c>
      <c r="E33" s="13">
        <f t="shared" si="0"/>
        <v>6500</v>
      </c>
      <c r="J33" s="25"/>
    </row>
    <row r="34" spans="1:10" x14ac:dyDescent="0.3">
      <c r="A34" s="11" t="s">
        <v>24</v>
      </c>
      <c r="B34" t="s">
        <v>83</v>
      </c>
      <c r="C34" s="12">
        <v>3100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3000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>
        <v>4200</v>
      </c>
      <c r="D38">
        <v>1</v>
      </c>
      <c r="E38" s="13">
        <f t="shared" si="0"/>
        <v>4200</v>
      </c>
    </row>
    <row r="39" spans="1:10" x14ac:dyDescent="0.3">
      <c r="A39" s="11" t="s">
        <v>34</v>
      </c>
      <c r="B39" t="s">
        <v>114</v>
      </c>
      <c r="C39" s="12">
        <v>100</v>
      </c>
      <c r="D39">
        <v>30</v>
      </c>
      <c r="E39" s="13">
        <f t="shared" si="0"/>
        <v>3000</v>
      </c>
    </row>
    <row r="40" spans="1:10" x14ac:dyDescent="0.3">
      <c r="C40" s="12"/>
      <c r="D40"/>
      <c r="E40" s="13">
        <f t="shared" si="0"/>
        <v>0</v>
      </c>
    </row>
    <row r="41" spans="1:1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0" x14ac:dyDescent="0.3">
      <c r="A42" s="11" t="s">
        <v>6</v>
      </c>
      <c r="B42" t="s">
        <v>45</v>
      </c>
      <c r="C42" s="12">
        <v>1100</v>
      </c>
      <c r="D42"/>
      <c r="E42" s="13">
        <f t="shared" si="0"/>
        <v>0</v>
      </c>
    </row>
    <row r="43" spans="1:10" x14ac:dyDescent="0.3">
      <c r="A43" s="11" t="s">
        <v>8</v>
      </c>
      <c r="B43" t="s">
        <v>46</v>
      </c>
      <c r="C43" s="12">
        <v>100</v>
      </c>
      <c r="D43"/>
      <c r="E43" s="13">
        <f t="shared" si="0"/>
        <v>0</v>
      </c>
    </row>
    <row r="44" spans="1:10" x14ac:dyDescent="0.3">
      <c r="A44" s="11" t="s">
        <v>10</v>
      </c>
      <c r="B44" t="s">
        <v>47</v>
      </c>
      <c r="C44" s="12"/>
      <c r="E44" s="13">
        <f>D45*C44</f>
        <v>0</v>
      </c>
    </row>
    <row r="45" spans="1:10" x14ac:dyDescent="0.3">
      <c r="A45" s="11" t="s">
        <v>12</v>
      </c>
      <c r="B45" t="s">
        <v>48</v>
      </c>
      <c r="C45" s="12"/>
      <c r="D45"/>
      <c r="E45" s="13">
        <f>D46*C45</f>
        <v>0</v>
      </c>
    </row>
    <row r="46" spans="1:10" x14ac:dyDescent="0.3">
      <c r="A46" s="11" t="s">
        <v>14</v>
      </c>
      <c r="B46" t="s">
        <v>49</v>
      </c>
      <c r="C46" s="12"/>
      <c r="D46"/>
      <c r="E46" s="13">
        <f t="shared" ref="E46:E77" si="1">D46*C46</f>
        <v>0</v>
      </c>
    </row>
    <row r="47" spans="1:10" x14ac:dyDescent="0.3">
      <c r="C47" s="12"/>
      <c r="D47"/>
      <c r="E47" s="13">
        <f t="shared" si="1"/>
        <v>0</v>
      </c>
    </row>
    <row r="48" spans="1:10" x14ac:dyDescent="0.3">
      <c r="A48" s="6">
        <v>5</v>
      </c>
      <c r="B48" s="7" t="s">
        <v>50</v>
      </c>
      <c r="C48" s="9"/>
      <c r="D48" s="8"/>
      <c r="E48" s="10">
        <f t="shared" si="1"/>
        <v>0</v>
      </c>
    </row>
    <row r="49" spans="1:5" x14ac:dyDescent="0.3">
      <c r="A49" s="11" t="s">
        <v>6</v>
      </c>
      <c r="B49" t="s">
        <v>51</v>
      </c>
      <c r="C49" s="12">
        <v>100</v>
      </c>
      <c r="D49"/>
      <c r="E49" s="13">
        <f t="shared" si="1"/>
        <v>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</row>
    <row r="51" spans="1:5" x14ac:dyDescent="0.3">
      <c r="A51" s="11"/>
      <c r="C51" s="12"/>
      <c r="D51"/>
      <c r="E51" s="13">
        <f t="shared" si="1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1"/>
        <v>0</v>
      </c>
    </row>
    <row r="53" spans="1:5" x14ac:dyDescent="0.3">
      <c r="A53" s="11" t="s">
        <v>6</v>
      </c>
      <c r="B53" s="14" t="s">
        <v>54</v>
      </c>
      <c r="C53" s="12">
        <v>5500</v>
      </c>
      <c r="D53">
        <v>1</v>
      </c>
      <c r="E53" s="13">
        <f t="shared" si="1"/>
        <v>5500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</row>
    <row r="55" spans="1:5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</row>
    <row r="58" spans="1:5" x14ac:dyDescent="0.3">
      <c r="A58" s="11" t="s">
        <v>22</v>
      </c>
      <c r="B58" s="14" t="s">
        <v>59</v>
      </c>
      <c r="C58" s="12">
        <v>300</v>
      </c>
      <c r="D58"/>
      <c r="E58" s="13">
        <f t="shared" si="1"/>
        <v>0</v>
      </c>
    </row>
    <row r="59" spans="1:5" x14ac:dyDescent="0.3">
      <c r="A59" s="11" t="s">
        <v>24</v>
      </c>
      <c r="B59" s="14" t="s">
        <v>60</v>
      </c>
      <c r="C59" s="12">
        <v>1500</v>
      </c>
      <c r="D59"/>
      <c r="E59" s="13">
        <f t="shared" si="1"/>
        <v>0</v>
      </c>
    </row>
    <row r="60" spans="1:5" x14ac:dyDescent="0.3">
      <c r="A60" s="11" t="s">
        <v>26</v>
      </c>
      <c r="B60" s="14" t="s">
        <v>61</v>
      </c>
      <c r="C60" s="12">
        <v>300</v>
      </c>
      <c r="D60"/>
      <c r="E60" s="13">
        <f t="shared" si="1"/>
        <v>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</row>
    <row r="62" spans="1:5" x14ac:dyDescent="0.3">
      <c r="A62" s="11" t="s">
        <v>30</v>
      </c>
      <c r="B62" s="14" t="s">
        <v>63</v>
      </c>
      <c r="C62" s="12">
        <v>700</v>
      </c>
      <c r="D62"/>
      <c r="E62" s="13">
        <f t="shared" si="1"/>
        <v>0</v>
      </c>
    </row>
    <row r="63" spans="1:5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</row>
    <row r="64" spans="1:5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</row>
    <row r="65" spans="1:5" x14ac:dyDescent="0.3">
      <c r="A65" s="11" t="s">
        <v>66</v>
      </c>
      <c r="B65" s="14" t="s">
        <v>67</v>
      </c>
      <c r="C65" s="12">
        <v>1</v>
      </c>
      <c r="D65"/>
      <c r="E65" s="13">
        <f t="shared" si="1"/>
        <v>0</v>
      </c>
    </row>
    <row r="66" spans="1:5" x14ac:dyDescent="0.3">
      <c r="A66" s="11" t="s">
        <v>68</v>
      </c>
      <c r="B66" s="14" t="s">
        <v>69</v>
      </c>
      <c r="C66" s="12">
        <v>600</v>
      </c>
      <c r="D66"/>
      <c r="E66" s="13">
        <f t="shared" si="1"/>
        <v>0</v>
      </c>
    </row>
    <row r="67" spans="1:5" x14ac:dyDescent="0.3">
      <c r="A67" s="11" t="s">
        <v>70</v>
      </c>
      <c r="B67" s="14" t="s">
        <v>71</v>
      </c>
      <c r="C67" s="12">
        <v>1200</v>
      </c>
      <c r="D67"/>
      <c r="E67" s="13">
        <f t="shared" si="1"/>
        <v>0</v>
      </c>
    </row>
    <row r="68" spans="1:5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</row>
    <row r="69" spans="1:5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</row>
    <row r="70" spans="1:5" x14ac:dyDescent="0.3">
      <c r="A70" s="11" t="s">
        <v>79</v>
      </c>
      <c r="B70" s="14" t="s">
        <v>84</v>
      </c>
      <c r="C70" s="12">
        <v>400</v>
      </c>
      <c r="D70"/>
      <c r="E70" s="13">
        <f t="shared" si="1"/>
        <v>0</v>
      </c>
    </row>
    <row r="71" spans="1:5" x14ac:dyDescent="0.3">
      <c r="A71" s="11" t="s">
        <v>85</v>
      </c>
      <c r="B71" s="14" t="s">
        <v>86</v>
      </c>
      <c r="C71" s="12">
        <v>300</v>
      </c>
      <c r="D71"/>
      <c r="E71" s="13">
        <f t="shared" si="1"/>
        <v>0</v>
      </c>
    </row>
    <row r="72" spans="1:5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</row>
    <row r="73" spans="1:5" x14ac:dyDescent="0.3">
      <c r="A73" s="11" t="s">
        <v>106</v>
      </c>
      <c r="B73" s="14" t="s">
        <v>107</v>
      </c>
      <c r="C73" s="12"/>
      <c r="D73"/>
    </row>
    <row r="74" spans="1:5" x14ac:dyDescent="0.3">
      <c r="C74" s="12"/>
      <c r="D74"/>
      <c r="E74" s="13">
        <f t="shared" si="1"/>
        <v>0</v>
      </c>
    </row>
    <row r="75" spans="1:5" x14ac:dyDescent="0.3">
      <c r="A75" s="15">
        <v>7</v>
      </c>
      <c r="B75" s="7" t="s">
        <v>76</v>
      </c>
      <c r="C75" s="9"/>
      <c r="D75" s="8"/>
      <c r="E75" s="10">
        <f t="shared" si="1"/>
        <v>0</v>
      </c>
    </row>
    <row r="76" spans="1:5" x14ac:dyDescent="0.3">
      <c r="A76" s="11" t="s">
        <v>6</v>
      </c>
      <c r="B76" s="14" t="s">
        <v>77</v>
      </c>
      <c r="C76" s="12"/>
      <c r="D76"/>
      <c r="E76" s="13">
        <f t="shared" si="1"/>
        <v>0</v>
      </c>
    </row>
    <row r="77" spans="1:5" x14ac:dyDescent="0.3">
      <c r="A77" s="11" t="s">
        <v>8</v>
      </c>
      <c r="B77" s="14" t="s">
        <v>78</v>
      </c>
      <c r="C77" s="12">
        <v>1000</v>
      </c>
      <c r="D77"/>
      <c r="E77" s="13">
        <f t="shared" si="1"/>
        <v>0</v>
      </c>
    </row>
    <row r="78" spans="1:5" x14ac:dyDescent="0.3">
      <c r="A78" s="11"/>
      <c r="B78" s="14"/>
      <c r="C78" s="12"/>
      <c r="D78"/>
    </row>
    <row r="79" spans="1:5" x14ac:dyDescent="0.3">
      <c r="A79" s="15">
        <v>8</v>
      </c>
      <c r="B79" s="7" t="s">
        <v>96</v>
      </c>
      <c r="C79" s="9"/>
      <c r="D79" s="8"/>
      <c r="E79" s="10">
        <f t="shared" ref="E79:E102" si="2">D79*C79</f>
        <v>0</v>
      </c>
    </row>
    <row r="80" spans="1:5" x14ac:dyDescent="0.3">
      <c r="A80" s="48" t="s">
        <v>6</v>
      </c>
      <c r="B80" s="14" t="s">
        <v>116</v>
      </c>
      <c r="C80">
        <v>100</v>
      </c>
      <c r="E80" s="13">
        <f t="shared" si="2"/>
        <v>0</v>
      </c>
    </row>
    <row r="81" spans="1:5" x14ac:dyDescent="0.3">
      <c r="A81" s="48" t="s">
        <v>8</v>
      </c>
      <c r="B81" s="14" t="s">
        <v>117</v>
      </c>
      <c r="E81" s="13">
        <f t="shared" si="2"/>
        <v>0</v>
      </c>
    </row>
    <row r="82" spans="1:5" x14ac:dyDescent="0.3">
      <c r="A82" s="48" t="s">
        <v>10</v>
      </c>
      <c r="B82" s="14" t="s">
        <v>97</v>
      </c>
      <c r="C82">
        <v>1000</v>
      </c>
      <c r="D82" s="12">
        <v>1</v>
      </c>
      <c r="E82" s="13">
        <f t="shared" si="2"/>
        <v>1000</v>
      </c>
    </row>
    <row r="83" spans="1:5" x14ac:dyDescent="0.3">
      <c r="A83" s="48" t="s">
        <v>12</v>
      </c>
      <c r="B83" s="14" t="s">
        <v>118</v>
      </c>
      <c r="E83" s="13">
        <f t="shared" si="2"/>
        <v>0</v>
      </c>
    </row>
    <row r="84" spans="1:5" x14ac:dyDescent="0.3">
      <c r="A84" s="48" t="s">
        <v>14</v>
      </c>
      <c r="B84" s="14" t="s">
        <v>108</v>
      </c>
      <c r="E84" s="13">
        <f t="shared" si="2"/>
        <v>0</v>
      </c>
    </row>
    <row r="85" spans="1:5" x14ac:dyDescent="0.3">
      <c r="A85" s="48" t="s">
        <v>22</v>
      </c>
      <c r="B85" s="14" t="s">
        <v>119</v>
      </c>
      <c r="E85" s="13">
        <f t="shared" si="2"/>
        <v>0</v>
      </c>
    </row>
    <row r="86" spans="1:5" x14ac:dyDescent="0.3">
      <c r="A86" s="48" t="s">
        <v>24</v>
      </c>
      <c r="B86" s="14" t="s">
        <v>100</v>
      </c>
      <c r="E86" s="13">
        <f t="shared" si="2"/>
        <v>0</v>
      </c>
    </row>
    <row r="87" spans="1:5" x14ac:dyDescent="0.3">
      <c r="A87" s="48" t="s">
        <v>26</v>
      </c>
      <c r="B87" s="14" t="s">
        <v>102</v>
      </c>
      <c r="E87" s="13">
        <f t="shared" si="2"/>
        <v>0</v>
      </c>
    </row>
    <row r="88" spans="1:5" x14ac:dyDescent="0.3">
      <c r="A88" s="48" t="s">
        <v>28</v>
      </c>
      <c r="B88" s="14" t="s">
        <v>104</v>
      </c>
      <c r="E88" s="13">
        <f t="shared" si="2"/>
        <v>0</v>
      </c>
    </row>
    <row r="89" spans="1:5" x14ac:dyDescent="0.3">
      <c r="A89" s="48" t="s">
        <v>30</v>
      </c>
      <c r="B89" s="14" t="s">
        <v>109</v>
      </c>
      <c r="E89" s="13">
        <f t="shared" si="2"/>
        <v>0</v>
      </c>
    </row>
    <row r="90" spans="1:5" x14ac:dyDescent="0.3">
      <c r="A90" s="48" t="s">
        <v>32</v>
      </c>
      <c r="B90" s="14" t="s">
        <v>110</v>
      </c>
      <c r="E90" s="13">
        <f t="shared" si="2"/>
        <v>0</v>
      </c>
    </row>
    <row r="91" spans="1:5" x14ac:dyDescent="0.3">
      <c r="A91" s="48" t="s">
        <v>34</v>
      </c>
      <c r="B91" s="14" t="s">
        <v>111</v>
      </c>
      <c r="E91" s="13">
        <f t="shared" si="2"/>
        <v>0</v>
      </c>
    </row>
    <row r="92" spans="1:5" x14ac:dyDescent="0.3">
      <c r="A92" s="48" t="s">
        <v>66</v>
      </c>
      <c r="B92" s="14" t="s">
        <v>112</v>
      </c>
      <c r="E92" s="13">
        <f t="shared" si="2"/>
        <v>0</v>
      </c>
    </row>
    <row r="93" spans="1:5" x14ac:dyDescent="0.3">
      <c r="A93" s="48" t="s">
        <v>68</v>
      </c>
      <c r="B93" s="14" t="s">
        <v>121</v>
      </c>
      <c r="E93" s="13">
        <f t="shared" si="2"/>
        <v>0</v>
      </c>
    </row>
    <row r="94" spans="1:5" x14ac:dyDescent="0.3">
      <c r="A94" s="48" t="s">
        <v>70</v>
      </c>
      <c r="B94" s="14" t="s">
        <v>105</v>
      </c>
      <c r="E94" s="13">
        <f t="shared" si="2"/>
        <v>0</v>
      </c>
    </row>
    <row r="95" spans="1:5" x14ac:dyDescent="0.3">
      <c r="A95" s="48" t="s">
        <v>72</v>
      </c>
      <c r="B95" s="14" t="s">
        <v>120</v>
      </c>
      <c r="E95" s="13">
        <f t="shared" si="2"/>
        <v>0</v>
      </c>
    </row>
    <row r="96" spans="1:5" x14ac:dyDescent="0.3">
      <c r="A96" s="48" t="s">
        <v>74</v>
      </c>
      <c r="B96" s="14" t="s">
        <v>101</v>
      </c>
      <c r="E96" s="13">
        <f t="shared" si="2"/>
        <v>0</v>
      </c>
    </row>
    <row r="97" spans="1:5" x14ac:dyDescent="0.3">
      <c r="A97" s="48" t="s">
        <v>79</v>
      </c>
      <c r="B97" s="14" t="s">
        <v>103</v>
      </c>
      <c r="E97" s="13">
        <f t="shared" si="2"/>
        <v>0</v>
      </c>
    </row>
    <row r="98" spans="1:5" x14ac:dyDescent="0.3">
      <c r="A98" s="48" t="s">
        <v>85</v>
      </c>
      <c r="B98" s="14" t="s">
        <v>98</v>
      </c>
      <c r="E98" s="13">
        <f t="shared" si="2"/>
        <v>0</v>
      </c>
    </row>
    <row r="99" spans="1:5" x14ac:dyDescent="0.3">
      <c r="A99" s="48" t="s">
        <v>87</v>
      </c>
      <c r="B99" s="14" t="s">
        <v>99</v>
      </c>
      <c r="E99" s="13">
        <f t="shared" si="2"/>
        <v>0</v>
      </c>
    </row>
    <row r="100" spans="1:5" x14ac:dyDescent="0.3">
      <c r="A100" s="48"/>
      <c r="B100" s="14"/>
      <c r="E100" s="13">
        <f t="shared" si="2"/>
        <v>0</v>
      </c>
    </row>
    <row r="101" spans="1:5" x14ac:dyDescent="0.3">
      <c r="A101" s="48"/>
      <c r="B101" s="14"/>
      <c r="E101" s="13">
        <f t="shared" si="2"/>
        <v>0</v>
      </c>
    </row>
    <row r="102" spans="1:5" x14ac:dyDescent="0.3">
      <c r="E102" s="13">
        <f t="shared" si="2"/>
        <v>0</v>
      </c>
    </row>
    <row r="103" spans="1:5" x14ac:dyDescent="0.3">
      <c r="B103" t="s">
        <v>80</v>
      </c>
      <c r="E103" s="13">
        <f>SUM(E2:E102)</f>
        <v>72400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103"/>
  <sheetViews>
    <sheetView topLeftCell="A80" workbookViewId="0">
      <selection activeCell="A39" sqref="A39:C39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3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3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  <c r="M2" s="33"/>
    </row>
    <row r="3" spans="1:13" x14ac:dyDescent="0.3">
      <c r="A3" s="11" t="s">
        <v>6</v>
      </c>
      <c r="B3" t="s">
        <v>7</v>
      </c>
      <c r="C3" s="12">
        <v>500</v>
      </c>
      <c r="D3"/>
      <c r="E3" s="13">
        <f t="shared" ref="E3:E43" si="0">D3*C3</f>
        <v>0</v>
      </c>
      <c r="J3" s="32"/>
      <c r="M3" s="33"/>
    </row>
    <row r="4" spans="1:13" x14ac:dyDescent="0.3">
      <c r="A4" s="11" t="s">
        <v>8</v>
      </c>
      <c r="B4" t="s">
        <v>9</v>
      </c>
      <c r="C4" s="12">
        <f>4750/12</f>
        <v>395.83333333333331</v>
      </c>
      <c r="D4">
        <v>24</v>
      </c>
      <c r="E4" s="13">
        <f t="shared" si="0"/>
        <v>9500</v>
      </c>
      <c r="M4" s="33"/>
    </row>
    <row r="5" spans="1:13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  <c r="M5" s="33"/>
    </row>
    <row r="6" spans="1:13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  <c r="M6" s="33"/>
    </row>
    <row r="7" spans="1:13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  <c r="M7" s="33"/>
    </row>
    <row r="8" spans="1:13" x14ac:dyDescent="0.3">
      <c r="A8" s="11"/>
      <c r="C8" s="12"/>
      <c r="D8"/>
      <c r="E8" s="13">
        <f t="shared" si="0"/>
        <v>0</v>
      </c>
      <c r="M8" s="33"/>
    </row>
    <row r="9" spans="1:13" x14ac:dyDescent="0.3">
      <c r="A9" s="6">
        <v>2</v>
      </c>
      <c r="B9" s="7" t="s">
        <v>16</v>
      </c>
      <c r="C9" s="9"/>
      <c r="D9" s="8"/>
      <c r="E9" s="10">
        <f t="shared" si="0"/>
        <v>0</v>
      </c>
      <c r="M9" s="33"/>
    </row>
    <row r="10" spans="1:13" x14ac:dyDescent="0.3">
      <c r="A10" s="11" t="s">
        <v>6</v>
      </c>
      <c r="B10" t="s">
        <v>17</v>
      </c>
      <c r="C10" s="50">
        <v>400</v>
      </c>
      <c r="D10"/>
      <c r="E10" s="13">
        <f>D10*C10</f>
        <v>0</v>
      </c>
      <c r="M10" s="33"/>
    </row>
    <row r="11" spans="1:13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  <c r="M11" s="33"/>
    </row>
    <row r="12" spans="1:13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  <c r="M12" s="33"/>
    </row>
    <row r="13" spans="1:13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  <c r="M13" s="33"/>
    </row>
    <row r="14" spans="1:13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  <c r="M14" s="33"/>
    </row>
    <row r="15" spans="1:13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  <c r="M15" s="33"/>
    </row>
    <row r="16" spans="1:13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  <c r="M16" s="33"/>
    </row>
    <row r="17" spans="1:13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  <c r="M17" s="33"/>
    </row>
    <row r="18" spans="1:13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  <c r="M18" s="33"/>
    </row>
    <row r="19" spans="1:13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  <c r="M19" s="33"/>
    </row>
    <row r="20" spans="1:13" x14ac:dyDescent="0.3">
      <c r="A20" s="11" t="s">
        <v>32</v>
      </c>
      <c r="B20" t="s">
        <v>33</v>
      </c>
      <c r="C20" s="12">
        <f>1200/12</f>
        <v>100</v>
      </c>
      <c r="D20">
        <f>5*12</f>
        <v>60</v>
      </c>
      <c r="E20" s="13">
        <f t="shared" si="0"/>
        <v>6000</v>
      </c>
      <c r="M20" s="33"/>
    </row>
    <row r="21" spans="1:13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  <c r="M21" s="33"/>
    </row>
    <row r="22" spans="1:13" x14ac:dyDescent="0.3">
      <c r="A22" s="11" t="s">
        <v>66</v>
      </c>
      <c r="B22" t="s">
        <v>91</v>
      </c>
      <c r="C22" s="12">
        <v>300</v>
      </c>
      <c r="D22"/>
      <c r="M22" s="33"/>
    </row>
    <row r="23" spans="1:13" x14ac:dyDescent="0.3">
      <c r="A23" s="11" t="s">
        <v>68</v>
      </c>
      <c r="B23" t="s">
        <v>92</v>
      </c>
      <c r="C23" s="12">
        <v>300</v>
      </c>
      <c r="D23"/>
      <c r="M23" s="33"/>
    </row>
    <row r="24" spans="1:13" x14ac:dyDescent="0.3">
      <c r="A24" s="11" t="s">
        <v>70</v>
      </c>
      <c r="B24" t="s">
        <v>94</v>
      </c>
      <c r="C24" s="12">
        <v>500</v>
      </c>
      <c r="D24"/>
      <c r="M24" s="33"/>
    </row>
    <row r="25" spans="1:13" x14ac:dyDescent="0.3">
      <c r="A25" s="11" t="s">
        <v>72</v>
      </c>
      <c r="B25" t="s">
        <v>93</v>
      </c>
      <c r="C25" s="12">
        <v>400</v>
      </c>
      <c r="D25"/>
      <c r="M25" s="33"/>
    </row>
    <row r="26" spans="1:13" x14ac:dyDescent="0.3">
      <c r="A26" s="11"/>
      <c r="C26" s="12"/>
      <c r="D26"/>
      <c r="E26" s="13">
        <f t="shared" si="0"/>
        <v>0</v>
      </c>
      <c r="M26" s="33"/>
    </row>
    <row r="27" spans="1:13" x14ac:dyDescent="0.3">
      <c r="A27" s="6">
        <v>3</v>
      </c>
      <c r="B27" s="7" t="s">
        <v>36</v>
      </c>
      <c r="C27" s="9"/>
      <c r="D27" s="8"/>
      <c r="E27" s="10">
        <f t="shared" si="0"/>
        <v>0</v>
      </c>
      <c r="M27" s="33"/>
    </row>
    <row r="28" spans="1:13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  <c r="M28" s="33"/>
    </row>
    <row r="29" spans="1:13" x14ac:dyDescent="0.3">
      <c r="A29" s="11" t="s">
        <v>8</v>
      </c>
      <c r="B29" t="s">
        <v>38</v>
      </c>
      <c r="C29" s="12">
        <v>27000</v>
      </c>
      <c r="D29">
        <v>1</v>
      </c>
      <c r="E29" s="13">
        <f t="shared" si="0"/>
        <v>27000</v>
      </c>
      <c r="M29" s="33"/>
    </row>
    <row r="30" spans="1:13" x14ac:dyDescent="0.3">
      <c r="A30" s="11" t="s">
        <v>10</v>
      </c>
      <c r="B30" t="s">
        <v>39</v>
      </c>
      <c r="C30" s="12"/>
      <c r="D30"/>
      <c r="E30" s="13">
        <f t="shared" si="0"/>
        <v>0</v>
      </c>
      <c r="M30" s="33"/>
    </row>
    <row r="31" spans="1:13" x14ac:dyDescent="0.3">
      <c r="A31" s="11" t="s">
        <v>12</v>
      </c>
      <c r="B31" t="s">
        <v>40</v>
      </c>
      <c r="C31" s="12"/>
      <c r="D31"/>
      <c r="E31" s="13">
        <f t="shared" si="0"/>
        <v>0</v>
      </c>
      <c r="M31" s="33"/>
    </row>
    <row r="32" spans="1:13" x14ac:dyDescent="0.3">
      <c r="A32" s="11" t="s">
        <v>14</v>
      </c>
      <c r="B32" t="s">
        <v>41</v>
      </c>
      <c r="C32" s="12"/>
      <c r="D32"/>
      <c r="E32" s="13">
        <f t="shared" si="0"/>
        <v>0</v>
      </c>
      <c r="M32" s="33"/>
    </row>
    <row r="33" spans="1:13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  <c r="M33" s="33"/>
    </row>
    <row r="34" spans="1:13" x14ac:dyDescent="0.3">
      <c r="A34" s="11" t="s">
        <v>24</v>
      </c>
      <c r="B34" t="s">
        <v>83</v>
      </c>
      <c r="C34" s="12">
        <v>3400</v>
      </c>
      <c r="D34"/>
      <c r="E34" s="13">
        <f t="shared" si="0"/>
        <v>0</v>
      </c>
      <c r="J34" s="32"/>
      <c r="M34" s="33"/>
    </row>
    <row r="35" spans="1:13" x14ac:dyDescent="0.3">
      <c r="A35" s="11" t="s">
        <v>26</v>
      </c>
      <c r="B35" t="s">
        <v>43</v>
      </c>
      <c r="C35" s="12">
        <v>2000</v>
      </c>
      <c r="D35"/>
      <c r="E35" s="13">
        <f t="shared" si="0"/>
        <v>0</v>
      </c>
      <c r="M35" s="33"/>
    </row>
    <row r="36" spans="1:13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  <c r="M36" s="33"/>
    </row>
    <row r="37" spans="1:13" x14ac:dyDescent="0.3">
      <c r="A37" s="11" t="s">
        <v>30</v>
      </c>
      <c r="B37" t="s">
        <v>90</v>
      </c>
      <c r="C37" s="12">
        <v>9000</v>
      </c>
      <c r="D37"/>
      <c r="E37" s="13">
        <f t="shared" si="0"/>
        <v>0</v>
      </c>
      <c r="M37" s="33"/>
    </row>
    <row r="38" spans="1:13" x14ac:dyDescent="0.3">
      <c r="A38" s="11" t="s">
        <v>32</v>
      </c>
      <c r="B38" t="s">
        <v>95</v>
      </c>
      <c r="C38" s="50">
        <v>500</v>
      </c>
      <c r="D38"/>
      <c r="E38" s="13">
        <f t="shared" si="0"/>
        <v>0</v>
      </c>
      <c r="M38" s="33"/>
    </row>
    <row r="39" spans="1:13" x14ac:dyDescent="0.3">
      <c r="A39" s="11" t="s">
        <v>34</v>
      </c>
      <c r="B39" t="s">
        <v>114</v>
      </c>
      <c r="C39" s="12">
        <f>100</f>
        <v>100</v>
      </c>
      <c r="D39"/>
      <c r="M39" s="33"/>
    </row>
    <row r="40" spans="1:13" x14ac:dyDescent="0.3">
      <c r="C40" s="12"/>
      <c r="D40"/>
      <c r="E40" s="13">
        <f t="shared" si="0"/>
        <v>0</v>
      </c>
      <c r="M40" s="33"/>
    </row>
    <row r="41" spans="1:13" x14ac:dyDescent="0.3">
      <c r="A41" s="6">
        <v>4</v>
      </c>
      <c r="B41" s="7" t="s">
        <v>44</v>
      </c>
      <c r="C41" s="9"/>
      <c r="D41" s="8"/>
      <c r="E41" s="10">
        <f t="shared" si="0"/>
        <v>0</v>
      </c>
      <c r="M41" s="33"/>
    </row>
    <row r="42" spans="1:13" x14ac:dyDescent="0.3">
      <c r="A42" s="11" t="s">
        <v>6</v>
      </c>
      <c r="B42" t="s">
        <v>45</v>
      </c>
      <c r="C42" s="12">
        <v>1100</v>
      </c>
      <c r="D42"/>
      <c r="E42" s="13">
        <f t="shared" si="0"/>
        <v>0</v>
      </c>
      <c r="M42" s="33"/>
    </row>
    <row r="43" spans="1:13" x14ac:dyDescent="0.3">
      <c r="A43" s="11" t="s">
        <v>8</v>
      </c>
      <c r="B43" t="s">
        <v>46</v>
      </c>
      <c r="C43" s="12">
        <v>100</v>
      </c>
      <c r="D43"/>
      <c r="E43" s="13">
        <f t="shared" si="0"/>
        <v>0</v>
      </c>
      <c r="M43" s="33"/>
    </row>
    <row r="44" spans="1:13" x14ac:dyDescent="0.3">
      <c r="A44" s="11" t="s">
        <v>10</v>
      </c>
      <c r="B44" t="s">
        <v>47</v>
      </c>
      <c r="C44" s="12"/>
      <c r="E44" s="13">
        <f>D45*C44</f>
        <v>0</v>
      </c>
      <c r="M44" s="33"/>
    </row>
    <row r="45" spans="1:13" x14ac:dyDescent="0.3">
      <c r="A45" s="11" t="s">
        <v>12</v>
      </c>
      <c r="B45" t="s">
        <v>48</v>
      </c>
      <c r="C45" s="12"/>
      <c r="D45"/>
      <c r="E45" s="13">
        <f>D46*C45</f>
        <v>0</v>
      </c>
      <c r="M45" s="33"/>
    </row>
    <row r="46" spans="1:13" x14ac:dyDescent="0.3">
      <c r="A46" s="11" t="s">
        <v>14</v>
      </c>
      <c r="B46" t="s">
        <v>49</v>
      </c>
      <c r="C46" s="12"/>
      <c r="D46"/>
      <c r="E46" s="13">
        <f t="shared" ref="E46:E102" si="1">D46*C46</f>
        <v>0</v>
      </c>
      <c r="M46" s="33"/>
    </row>
    <row r="47" spans="1:13" x14ac:dyDescent="0.3">
      <c r="C47" s="12"/>
      <c r="D47"/>
      <c r="E47" s="13">
        <f t="shared" si="1"/>
        <v>0</v>
      </c>
      <c r="M47" s="33"/>
    </row>
    <row r="48" spans="1:13" x14ac:dyDescent="0.3">
      <c r="A48" s="6">
        <v>5</v>
      </c>
      <c r="B48" s="7" t="s">
        <v>50</v>
      </c>
      <c r="C48" s="9"/>
      <c r="D48" s="8"/>
      <c r="E48" s="10">
        <f t="shared" si="1"/>
        <v>0</v>
      </c>
      <c r="M48" s="33"/>
    </row>
    <row r="49" spans="1:13" x14ac:dyDescent="0.3">
      <c r="A49" s="11" t="s">
        <v>6</v>
      </c>
      <c r="B49" t="s">
        <v>51</v>
      </c>
      <c r="C49" s="12">
        <v>100</v>
      </c>
      <c r="D49"/>
      <c r="E49" s="13">
        <f t="shared" si="1"/>
        <v>0</v>
      </c>
      <c r="M49" s="33"/>
    </row>
    <row r="50" spans="1:13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  <c r="M50" s="33"/>
    </row>
    <row r="51" spans="1:13" x14ac:dyDescent="0.3">
      <c r="A51" s="11"/>
      <c r="C51" s="12"/>
      <c r="D51"/>
      <c r="E51" s="13">
        <f t="shared" si="1"/>
        <v>0</v>
      </c>
      <c r="M51" s="33"/>
    </row>
    <row r="52" spans="1:13" x14ac:dyDescent="0.3">
      <c r="A52" s="6">
        <v>6</v>
      </c>
      <c r="B52" s="7" t="s">
        <v>53</v>
      </c>
      <c r="C52" s="9"/>
      <c r="D52" s="8"/>
      <c r="E52" s="10">
        <f t="shared" si="1"/>
        <v>0</v>
      </c>
      <c r="M52" s="33"/>
    </row>
    <row r="53" spans="1:13" x14ac:dyDescent="0.3">
      <c r="A53" s="11" t="s">
        <v>6</v>
      </c>
      <c r="B53" s="14" t="s">
        <v>54</v>
      </c>
      <c r="C53" s="12">
        <v>7500</v>
      </c>
      <c r="D53">
        <v>1</v>
      </c>
      <c r="E53" s="13">
        <f t="shared" si="1"/>
        <v>7500</v>
      </c>
      <c r="M53" s="33"/>
    </row>
    <row r="54" spans="1:13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  <c r="M54" s="33"/>
    </row>
    <row r="55" spans="1:13" x14ac:dyDescent="0.3">
      <c r="A55" s="11" t="s">
        <v>10</v>
      </c>
      <c r="B55" s="14" t="s">
        <v>56</v>
      </c>
      <c r="C55" s="12">
        <f>1200/4</f>
        <v>300</v>
      </c>
      <c r="D55">
        <v>4</v>
      </c>
      <c r="E55" s="13">
        <f t="shared" si="1"/>
        <v>1200</v>
      </c>
      <c r="M55" s="33"/>
    </row>
    <row r="56" spans="1:13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  <c r="M56" s="33"/>
    </row>
    <row r="57" spans="1:13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  <c r="M57" s="33"/>
    </row>
    <row r="58" spans="1:13" x14ac:dyDescent="0.3">
      <c r="A58" s="11" t="s">
        <v>22</v>
      </c>
      <c r="B58" s="14" t="s">
        <v>59</v>
      </c>
      <c r="C58" s="12">
        <v>300</v>
      </c>
      <c r="D58"/>
      <c r="E58" s="13">
        <f t="shared" si="1"/>
        <v>0</v>
      </c>
      <c r="M58" s="33"/>
    </row>
    <row r="59" spans="1:13" x14ac:dyDescent="0.3">
      <c r="A59" s="11" t="s">
        <v>24</v>
      </c>
      <c r="B59" s="14" t="s">
        <v>60</v>
      </c>
      <c r="C59" s="12">
        <v>1300</v>
      </c>
      <c r="D59"/>
      <c r="E59" s="13">
        <f t="shared" si="1"/>
        <v>0</v>
      </c>
      <c r="M59" s="33"/>
    </row>
    <row r="60" spans="1:13" x14ac:dyDescent="0.3">
      <c r="A60" s="11" t="s">
        <v>26</v>
      </c>
      <c r="B60" s="14" t="s">
        <v>61</v>
      </c>
      <c r="C60" s="12">
        <v>300</v>
      </c>
      <c r="D60"/>
      <c r="E60" s="13">
        <f t="shared" si="1"/>
        <v>0</v>
      </c>
      <c r="M60" s="33"/>
    </row>
    <row r="61" spans="1:13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  <c r="M61" s="33"/>
    </row>
    <row r="62" spans="1:13" x14ac:dyDescent="0.3">
      <c r="A62" s="11" t="s">
        <v>30</v>
      </c>
      <c r="B62" s="14" t="s">
        <v>63</v>
      </c>
      <c r="C62" s="12">
        <f>4250/6</f>
        <v>708.33333333333337</v>
      </c>
      <c r="D62">
        <v>6</v>
      </c>
      <c r="E62" s="13">
        <f t="shared" si="1"/>
        <v>4250</v>
      </c>
      <c r="M62" s="33"/>
    </row>
    <row r="63" spans="1:13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  <c r="M63" s="33"/>
    </row>
    <row r="64" spans="1:13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  <c r="M64" s="33"/>
    </row>
    <row r="65" spans="1:13" x14ac:dyDescent="0.3">
      <c r="A65" s="11" t="s">
        <v>66</v>
      </c>
      <c r="B65" s="14" t="s">
        <v>67</v>
      </c>
      <c r="C65" s="12">
        <v>1</v>
      </c>
      <c r="D65"/>
      <c r="E65" s="13">
        <f t="shared" si="1"/>
        <v>0</v>
      </c>
      <c r="M65" s="33"/>
    </row>
    <row r="66" spans="1:13" x14ac:dyDescent="0.3">
      <c r="A66" s="11" t="s">
        <v>68</v>
      </c>
      <c r="B66" s="14" t="s">
        <v>69</v>
      </c>
      <c r="C66" s="12">
        <v>600</v>
      </c>
      <c r="D66"/>
      <c r="E66" s="13">
        <f t="shared" si="1"/>
        <v>0</v>
      </c>
      <c r="M66" s="33"/>
    </row>
    <row r="67" spans="1:13" x14ac:dyDescent="0.3">
      <c r="A67" s="11" t="s">
        <v>70</v>
      </c>
      <c r="B67" s="14" t="s">
        <v>71</v>
      </c>
      <c r="C67" s="12">
        <v>1200</v>
      </c>
      <c r="D67"/>
      <c r="E67" s="13">
        <f t="shared" si="1"/>
        <v>0</v>
      </c>
      <c r="M67" s="33"/>
    </row>
    <row r="68" spans="1:13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  <c r="M68" s="33"/>
    </row>
    <row r="69" spans="1:13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  <c r="M69" s="33"/>
    </row>
    <row r="70" spans="1:13" x14ac:dyDescent="0.3">
      <c r="A70" s="11" t="s">
        <v>79</v>
      </c>
      <c r="B70" s="14" t="s">
        <v>84</v>
      </c>
      <c r="C70" s="12">
        <v>400</v>
      </c>
      <c r="D70"/>
      <c r="E70" s="13">
        <f t="shared" si="1"/>
        <v>0</v>
      </c>
      <c r="M70" s="33"/>
    </row>
    <row r="71" spans="1:13" x14ac:dyDescent="0.3">
      <c r="A71" s="11" t="s">
        <v>85</v>
      </c>
      <c r="B71" s="14" t="s">
        <v>86</v>
      </c>
      <c r="C71" s="12">
        <v>300</v>
      </c>
      <c r="D71"/>
      <c r="E71" s="13">
        <f t="shared" si="1"/>
        <v>0</v>
      </c>
      <c r="M71" s="33"/>
    </row>
    <row r="72" spans="1:13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  <c r="M72" s="33"/>
    </row>
    <row r="73" spans="1:13" x14ac:dyDescent="0.3">
      <c r="A73" s="11" t="s">
        <v>106</v>
      </c>
      <c r="B73" s="14" t="s">
        <v>107</v>
      </c>
      <c r="C73" s="12"/>
      <c r="D73"/>
      <c r="M73" s="33"/>
    </row>
    <row r="74" spans="1:13" x14ac:dyDescent="0.3">
      <c r="C74" s="12"/>
      <c r="D74"/>
      <c r="E74" s="13">
        <f t="shared" si="1"/>
        <v>0</v>
      </c>
      <c r="M74" s="33"/>
    </row>
    <row r="75" spans="1:13" x14ac:dyDescent="0.3">
      <c r="A75" s="15">
        <v>7</v>
      </c>
      <c r="B75" s="7" t="s">
        <v>76</v>
      </c>
      <c r="C75" s="9"/>
      <c r="D75" s="8"/>
      <c r="E75" s="10">
        <f t="shared" si="1"/>
        <v>0</v>
      </c>
      <c r="M75" s="33"/>
    </row>
    <row r="76" spans="1:13" x14ac:dyDescent="0.3">
      <c r="A76" s="11" t="s">
        <v>6</v>
      </c>
      <c r="B76" s="14" t="s">
        <v>77</v>
      </c>
      <c r="C76" s="12"/>
      <c r="D76"/>
      <c r="E76" s="13">
        <f t="shared" si="1"/>
        <v>0</v>
      </c>
      <c r="M76" s="33"/>
    </row>
    <row r="77" spans="1:13" x14ac:dyDescent="0.3">
      <c r="A77" s="11" t="s">
        <v>8</v>
      </c>
      <c r="B77" s="14" t="s">
        <v>78</v>
      </c>
      <c r="C77" s="12">
        <v>1</v>
      </c>
      <c r="D77"/>
      <c r="E77" s="13">
        <f t="shared" si="1"/>
        <v>0</v>
      </c>
      <c r="H77" s="14"/>
      <c r="J77" s="12"/>
      <c r="M77" s="33"/>
    </row>
    <row r="78" spans="1:13" x14ac:dyDescent="0.3">
      <c r="A78" s="11"/>
      <c r="B78" s="14"/>
      <c r="C78" s="12"/>
      <c r="D78"/>
      <c r="E78" s="13">
        <f t="shared" si="1"/>
        <v>0</v>
      </c>
      <c r="H78" s="14"/>
      <c r="J78" s="12"/>
      <c r="M78" s="33"/>
    </row>
    <row r="79" spans="1:13" x14ac:dyDescent="0.3">
      <c r="A79" s="15">
        <v>8</v>
      </c>
      <c r="B79" s="7" t="s">
        <v>96</v>
      </c>
      <c r="C79" s="9"/>
      <c r="D79" s="8"/>
      <c r="E79" s="10">
        <f t="shared" ref="E79" si="2">D79*C79</f>
        <v>0</v>
      </c>
      <c r="H79" s="14"/>
      <c r="J79" s="12"/>
      <c r="M79" s="33"/>
    </row>
    <row r="80" spans="1:13" x14ac:dyDescent="0.3">
      <c r="A80" s="48" t="s">
        <v>6</v>
      </c>
      <c r="B80" s="14" t="s">
        <v>116</v>
      </c>
      <c r="C80">
        <f>3600/5</f>
        <v>720</v>
      </c>
      <c r="D80" s="12">
        <v>5</v>
      </c>
      <c r="E80" s="13">
        <f t="shared" si="1"/>
        <v>3600</v>
      </c>
      <c r="H80" s="14"/>
      <c r="J80" s="12"/>
      <c r="M80" s="33"/>
    </row>
    <row r="81" spans="1:13" x14ac:dyDescent="0.3">
      <c r="A81" s="48" t="s">
        <v>8</v>
      </c>
      <c r="B81" s="14" t="s">
        <v>117</v>
      </c>
      <c r="C81">
        <f>2700/18</f>
        <v>150</v>
      </c>
      <c r="D81" s="12">
        <v>18</v>
      </c>
      <c r="E81" s="13">
        <f t="shared" si="1"/>
        <v>2700</v>
      </c>
      <c r="H81" s="14"/>
      <c r="J81" s="12"/>
      <c r="M81" s="33"/>
    </row>
    <row r="82" spans="1:13" x14ac:dyDescent="0.3">
      <c r="A82" s="48" t="s">
        <v>10</v>
      </c>
      <c r="B82" s="14" t="s">
        <v>97</v>
      </c>
      <c r="C82">
        <v>2000</v>
      </c>
      <c r="D82" s="12">
        <v>1</v>
      </c>
      <c r="E82" s="13">
        <f t="shared" si="1"/>
        <v>2000</v>
      </c>
      <c r="H82" s="14"/>
      <c r="J82" s="12"/>
      <c r="M82" s="33"/>
    </row>
    <row r="83" spans="1:13" x14ac:dyDescent="0.3">
      <c r="A83" s="48" t="s">
        <v>12</v>
      </c>
      <c r="B83" s="14" t="s">
        <v>118</v>
      </c>
      <c r="C83">
        <v>500</v>
      </c>
      <c r="D83" s="12">
        <v>1</v>
      </c>
      <c r="E83" s="13">
        <f t="shared" si="1"/>
        <v>500</v>
      </c>
      <c r="H83" s="14"/>
      <c r="J83" s="12"/>
      <c r="M83" s="33"/>
    </row>
    <row r="84" spans="1:13" x14ac:dyDescent="0.3">
      <c r="A84" s="48" t="s">
        <v>14</v>
      </c>
      <c r="B84" s="14" t="s">
        <v>108</v>
      </c>
      <c r="C84">
        <v>900</v>
      </c>
      <c r="D84" s="12">
        <v>2</v>
      </c>
      <c r="E84" s="13">
        <f t="shared" si="1"/>
        <v>1800</v>
      </c>
      <c r="H84" s="14"/>
      <c r="J84" s="12"/>
      <c r="M84" s="33"/>
    </row>
    <row r="85" spans="1:13" x14ac:dyDescent="0.3">
      <c r="A85" s="48" t="s">
        <v>22</v>
      </c>
      <c r="B85" s="14" t="s">
        <v>119</v>
      </c>
      <c r="C85">
        <v>5000</v>
      </c>
      <c r="D85" s="12">
        <v>1</v>
      </c>
      <c r="E85" s="13">
        <f t="shared" si="1"/>
        <v>5000</v>
      </c>
      <c r="M85" s="33"/>
    </row>
    <row r="86" spans="1:13" x14ac:dyDescent="0.3">
      <c r="A86" s="48" t="s">
        <v>24</v>
      </c>
      <c r="B86" s="14" t="s">
        <v>100</v>
      </c>
      <c r="C86">
        <v>500</v>
      </c>
      <c r="D86" s="12">
        <v>1</v>
      </c>
      <c r="E86" s="13">
        <f t="shared" si="1"/>
        <v>500</v>
      </c>
      <c r="M86" s="33"/>
    </row>
    <row r="87" spans="1:13" x14ac:dyDescent="0.3">
      <c r="A87" s="48" t="s">
        <v>26</v>
      </c>
      <c r="B87" s="14" t="s">
        <v>102</v>
      </c>
      <c r="C87">
        <v>2200</v>
      </c>
      <c r="D87" s="12">
        <v>1</v>
      </c>
      <c r="E87" s="13">
        <f t="shared" si="1"/>
        <v>2200</v>
      </c>
      <c r="K87" s="14"/>
      <c r="M87" s="33"/>
    </row>
    <row r="88" spans="1:13" x14ac:dyDescent="0.3">
      <c r="A88" s="48" t="s">
        <v>28</v>
      </c>
      <c r="B88" s="14" t="s">
        <v>104</v>
      </c>
      <c r="E88" s="13">
        <f t="shared" si="1"/>
        <v>0</v>
      </c>
      <c r="K88" s="14"/>
      <c r="M88" s="33"/>
    </row>
    <row r="89" spans="1:13" x14ac:dyDescent="0.3">
      <c r="A89" s="48" t="s">
        <v>30</v>
      </c>
      <c r="B89" s="14" t="s">
        <v>109</v>
      </c>
      <c r="E89" s="13">
        <f t="shared" si="1"/>
        <v>0</v>
      </c>
      <c r="M89" s="33"/>
    </row>
    <row r="90" spans="1:13" x14ac:dyDescent="0.3">
      <c r="A90" s="48" t="s">
        <v>32</v>
      </c>
      <c r="B90" s="14" t="s">
        <v>110</v>
      </c>
      <c r="E90" s="13">
        <f t="shared" si="1"/>
        <v>0</v>
      </c>
      <c r="M90" s="33"/>
    </row>
    <row r="91" spans="1:13" x14ac:dyDescent="0.3">
      <c r="A91" s="48" t="s">
        <v>34</v>
      </c>
      <c r="B91" s="14" t="s">
        <v>111</v>
      </c>
      <c r="E91" s="13">
        <f t="shared" si="1"/>
        <v>0</v>
      </c>
      <c r="M91" s="33"/>
    </row>
    <row r="92" spans="1:13" x14ac:dyDescent="0.3">
      <c r="A92" s="48" t="s">
        <v>66</v>
      </c>
      <c r="B92" s="14" t="s">
        <v>112</v>
      </c>
      <c r="E92" s="13">
        <f t="shared" si="1"/>
        <v>0</v>
      </c>
      <c r="M92" s="33"/>
    </row>
    <row r="93" spans="1:13" x14ac:dyDescent="0.3">
      <c r="A93" s="48" t="s">
        <v>68</v>
      </c>
      <c r="B93" s="14" t="s">
        <v>121</v>
      </c>
      <c r="E93" s="13">
        <f t="shared" si="1"/>
        <v>0</v>
      </c>
      <c r="M93" s="33"/>
    </row>
    <row r="94" spans="1:13" x14ac:dyDescent="0.3">
      <c r="A94" s="48" t="s">
        <v>70</v>
      </c>
      <c r="B94" s="14" t="s">
        <v>105</v>
      </c>
      <c r="E94" s="13">
        <f t="shared" si="1"/>
        <v>0</v>
      </c>
      <c r="M94" s="33"/>
    </row>
    <row r="95" spans="1:13" x14ac:dyDescent="0.3">
      <c r="A95" s="48" t="s">
        <v>72</v>
      </c>
      <c r="B95" s="14" t="s">
        <v>120</v>
      </c>
      <c r="E95" s="13">
        <f t="shared" si="1"/>
        <v>0</v>
      </c>
      <c r="M95" s="33"/>
    </row>
    <row r="96" spans="1:13" x14ac:dyDescent="0.3">
      <c r="A96" s="48" t="s">
        <v>74</v>
      </c>
      <c r="B96" s="14" t="s">
        <v>101</v>
      </c>
      <c r="E96" s="13">
        <f t="shared" si="1"/>
        <v>0</v>
      </c>
      <c r="H96" s="14"/>
      <c r="M96" s="33"/>
    </row>
    <row r="97" spans="1:13" x14ac:dyDescent="0.3">
      <c r="A97" s="48" t="s">
        <v>79</v>
      </c>
      <c r="B97" s="14" t="s">
        <v>103</v>
      </c>
      <c r="E97" s="13">
        <f t="shared" si="1"/>
        <v>0</v>
      </c>
      <c r="M97" s="33"/>
    </row>
    <row r="98" spans="1:13" x14ac:dyDescent="0.3">
      <c r="A98" s="48" t="s">
        <v>85</v>
      </c>
      <c r="B98" s="14" t="s">
        <v>98</v>
      </c>
      <c r="E98" s="13">
        <f t="shared" si="1"/>
        <v>0</v>
      </c>
      <c r="M98" s="33"/>
    </row>
    <row r="99" spans="1:13" x14ac:dyDescent="0.3">
      <c r="A99" s="48" t="s">
        <v>87</v>
      </c>
      <c r="B99" s="14" t="s">
        <v>99</v>
      </c>
      <c r="E99" s="13">
        <f t="shared" si="1"/>
        <v>0</v>
      </c>
      <c r="M99" s="33"/>
    </row>
    <row r="100" spans="1:13" x14ac:dyDescent="0.3">
      <c r="A100" s="48"/>
      <c r="B100" s="14"/>
      <c r="E100" s="13">
        <f t="shared" si="1"/>
        <v>0</v>
      </c>
      <c r="M100" s="33"/>
    </row>
    <row r="101" spans="1:13" x14ac:dyDescent="0.3">
      <c r="A101" s="48"/>
      <c r="B101" s="14"/>
      <c r="E101" s="13">
        <f t="shared" si="1"/>
        <v>0</v>
      </c>
      <c r="M101" s="33"/>
    </row>
    <row r="102" spans="1:13" x14ac:dyDescent="0.3">
      <c r="E102" s="13">
        <f t="shared" si="1"/>
        <v>0</v>
      </c>
      <c r="M102" s="33"/>
    </row>
    <row r="103" spans="1:13" x14ac:dyDescent="0.3">
      <c r="B103" t="s">
        <v>80</v>
      </c>
      <c r="E103" s="13">
        <f>SUM(E2:E102)</f>
        <v>73750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Expence-22</vt:lpstr>
      <vt:lpstr>Expence-23</vt:lpstr>
      <vt:lpstr>Expence-24</vt:lpstr>
      <vt:lpstr>Expence-25</vt:lpstr>
      <vt:lpstr>Expence-26</vt:lpstr>
      <vt:lpstr>Expence-27</vt:lpstr>
      <vt:lpstr>Expence-28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Benedict Arowojolu-Alagwe</dc:creator>
  <cp:lastModifiedBy>Benedict Arowojolu-Alagwe</cp:lastModifiedBy>
  <dcterms:created xsi:type="dcterms:W3CDTF">2024-01-04T08:07:19Z</dcterms:created>
  <dcterms:modified xsi:type="dcterms:W3CDTF">2024-03-14T20:17:47Z</dcterms:modified>
</cp:coreProperties>
</file>